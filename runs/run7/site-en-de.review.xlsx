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bookViews>
    <workbookView/>
  </bookViews>
  <sheets>
    <sheet name="Review" sheetId="1" r:id="rId1"/>
    <sheet name="How to review" sheetId="2" r:id="rId2"/>
  </sheets>
  <definedNames>
    <definedName name="_xlnm._FilterDatabase" localSheetId="0" hidden="1">Review!$A$1:$L$692</definedName>
  </definedNames>
</workbook>
</file>

<file path=xl/styles.xml><?xml version="1.0" encoding="utf-8"?>
<styleSheet xmlns="http://schemas.openxmlformats.org/spreadsheetml/2006/main">
  <fonts count="3">
    <font>
      <sz val="11"/>
      <name val="Calibri"/>
      <family val="2"/>
    </font>
    <font>
      <b/>
      <sz val="11"/>
      <name val="Calibri"/>
      <family val="2"/>
    </font>
    <font>
      <u/>
      <sz val="11"/>
      <color rgb="FF0563C1"/>
      <name val="Calibri"/>
      <family val="2"/>
    </font>
  </fonts>
  <fills count="4">
    <fill>
      <patternFill patternType="none"/>
    </fill>
    <fill>
      <patternFill patternType="gray125"/>
    </fill>
    <fill>
      <patternFill patternType="solid">
        <fgColor rgb="FFDDEBF7"/>
        <bgColor indexed="64"/>
      </patternFill>
    </fill>
    <fill>
      <patternFill patternType="solid">
        <fgColor rgb="FFFFF2CC"/>
        <bgColor indexed="64"/>
      </patternFill>
    </fill>
  </fills>
  <borders count="1">
    <border>
      <left/>
      <right/>
      <top/>
      <bottom/>
      <diagonal/>
    </border>
  </borders>
  <cellStyleXfs count="1">
    <xf numFmtId="0" fontId="0" fillId="0" borderId="0"/>
  </cellStyleXfs>
  <cellXfs count="5">
    <xf numFmtId="0" fontId="0" fillId="0" borderId="0" xfId="0" applyAlignment="1">
      <alignment vertical="top"/>
    </xf>
    <xf numFmtId="0" fontId="1" fillId="2" borderId="0" xfId="0" applyFont="1" applyFill="1" applyAlignment="1">
      <alignment vertical="top" wrapText="1"/>
    </xf>
    <xf numFmtId="0" fontId="0" fillId="0" borderId="0" xfId="0" applyAlignment="1">
      <alignment vertical="top" wrapText="1"/>
    </xf>
    <xf numFmtId="0" fontId="2" fillId="0" borderId="0" xfId="0" applyFont="1" applyAlignment="1">
      <alignment vertical="top"/>
    </xf>
    <xf numFmtId="0" fontId="0" fillId="3" borderId="0" xfId="0" applyFill="1" applyAlignment="1">
      <alignment vertical="top" wrapText="1"/>
    </xf>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sheetFormatPr defaultRowHeight="15"/>
  <cols>
    <col min="1" max="1" width="6" customWidth="1"/>
    <col min="2" max="2" width="28" customWidth="1"/>
    <col min="3" max="3" width="55" customWidth="1"/>
    <col min="4" max="4" width="55" customWidth="1"/>
    <col min="5" max="5" width="9" customWidth="1"/>
    <col min="6" max="6" width="20" customWidth="1"/>
    <col min="7" max="7" width="45" customWidth="1"/>
    <col min="8" max="8" width="45" customWidth="1"/>
    <col min="9" max="9" width="45" customWidth="1"/>
    <col min="10" max="10" width="45" customWidth="1"/>
    <col min="11" max="11" width="30" customWidth="1"/>
    <col min="12" max="12" width="28" customWidth="1"/>
  </cols>
  <sheetData>
    <row r="1">
      <c r="A1" t="inlineStr" s="1">
        <is>
          <t xml:space="preserve">No.</t>
        </is>
      </c>
      <c r="B1" t="inlineStr" s="1">
        <is>
          <t xml:space="preserve">Page</t>
        </is>
      </c>
      <c r="C1" t="inlineStr" s="1">
        <is>
          <t xml:space="preserve">English</t>
        </is>
      </c>
      <c r="D1" t="inlineStr" s="1">
        <is>
          <t xml:space="preserve">Suggested German</t>
        </is>
      </c>
      <c r="E1" t="inlineStr" s="1">
        <is>
          <t xml:space="preserve">Match</t>
        </is>
      </c>
      <c r="F1" t="inlineStr" s="1">
        <is>
          <t xml:space="preserve">Decision</t>
        </is>
      </c>
      <c r="G1" t="inlineStr" s="1">
        <is>
          <t xml:space="preserve">Alternative 1</t>
        </is>
      </c>
      <c r="H1" t="inlineStr" s="1">
        <is>
          <t xml:space="preserve">Alternative 2</t>
        </is>
      </c>
      <c r="I1" t="inlineStr" s="1">
        <is>
          <t xml:space="preserve">Alternative 3</t>
        </is>
      </c>
      <c r="J1" t="inlineStr" s="1">
        <is>
          <t xml:space="preserve">Your German</t>
        </is>
      </c>
      <c r="K1" t="inlineStr" s="1">
        <is>
          <t xml:space="preserve">Check</t>
        </is>
      </c>
      <c r="L1" t="inlineStr" s="1">
        <is>
          <t xml:space="preserve">German page</t>
        </is>
      </c>
    </row>
    <row r="2">
      <c r="A2" s="0">
        <v>1</v>
      </c>
      <c r="B2" t="str" s="3">
        <f>HYPERLINK("https://www.getinge.com/int/campaigns/a-touch-of-clarity/","/campaigns/a-touch-of-clarity/")</f>
        <v>/campaigns/a-touch-of-clarity/</v>
      </c>
      <c r="C2" t="inlineStr" s="2">
        <is>
          <t xml:space="preserve">This suite of specialized hospital software solutions provides a comprehensive digital overview, enabling health care professionals to focus on delivering the best possible care.</t>
        </is>
      </c>
      <c r="D2" s="2"/>
      <c r="F2" s="4"/>
      <c r="G2" t="inlineStr" s="2">
        <is>
          <t xml:space="preserve">Dank dem nahtlos eingebundenen Integrationsmodul und der zuverlässigen Kommunikation erfasst und strukturiert Getinge Digital Health Solutions die Daten, um die Arbeitsabläufe in Ihrem Krankenhaus zu optimieren. Diese Suite spezialisierter Krankenhaussoftwarelösungen bietet einen umfassenden digitalen Überblick, sodass sich die medizinischen Fachkräfte auf die bestmögliche Versorgung ihrer Patienten konzentrieren können.</t>
        </is>
      </c>
      <c r="H2" s="2"/>
      <c r="I2" s="2"/>
      <c r="J2" s="4"/>
      <c r="K2" s="2"/>
      <c r="L2" t="str" s="3">
        <f>HYPERLINK("https://www.getinge.com/de/kampagnen/ein-klares-konzept/","/kampagnen/ein-klares-konzept/")</f>
        <v>/kampagnen/ein-klares-konzept/</v>
      </c>
    </row>
    <row r="3">
      <c r="A3" s="0">
        <v>2</v>
      </c>
      <c r="B3" t="str" s="3">
        <f>HYPERLINK("https://www.getinge.com/int/campaigns/cardiohelp-2/","/campaigns/cardiohelp-2/")</f>
        <v>/campaigns/cardiohelp-2/</v>
      </c>
      <c r="C3" t="inlineStr" s="2">
        <is>
          <t xml:space="preserve">User Centric Design</t>
        </is>
      </c>
      <c r="D3" t="inlineStr" s="2">
        <is>
          <t xml:space="preserve">Benutzerorientiertes Design</t>
        </is>
      </c>
      <c r="E3" t="inlineStr" s="0">
        <is>
          <t xml:space="preserve">Medium</t>
        </is>
      </c>
      <c r="F3" s="4"/>
      <c r="G3" t="inlineStr" s="2">
        <is>
          <t xml:space="preserve">Nahtlose Mobilität und Vielseitigkeit</t>
        </is>
      </c>
      <c r="H3" t="inlineStr" s="2">
        <is>
          <t xml:space="preserve">Entscheidungsfindung und klinische Leistung</t>
        </is>
      </c>
      <c r="I3" s="2"/>
      <c r="J3" s="4"/>
      <c r="K3" s="2"/>
      <c r="L3" t="str" s="3">
        <f>HYPERLINK("https://www.getinge.com/de/kampagnen/cardiohelp-2/","/kampagnen/cardiohelp-2/")</f>
        <v>/kampagnen/cardiohelp-2/</v>
      </c>
    </row>
    <row r="4">
      <c r="A4" s="0">
        <v>3</v>
      </c>
      <c r="B4" t="str" s="3">
        <f>HYPERLINK("https://www.getinge.com/int/campaigns/cardiohelp-2/","/campaigns/cardiohelp-2/")</f>
        <v>/campaigns/cardiohelp-2/</v>
      </c>
      <c r="C4" t="inlineStr" s="2">
        <is>
          <t xml:space="preserve">An intuitive user interface and comprehensive guidance tools are designed to streamline workflows and help users navigate critical situations with confidence.</t>
        </is>
      </c>
      <c r="D4" t="inlineStr" s="2">
        <is>
          <t xml:space="preserve">Eine intuitive Benutzeroberfläche und umfangreiche Hilfestellungen sollen die Arbeitsabläufe optimieren und den Anwendern helfen, kritische Situationen sicher zu meistern.</t>
        </is>
      </c>
      <c r="E4" t="inlineStr" s="0">
        <is>
          <t xml:space="preserve">Medium</t>
        </is>
      </c>
      <c r="F4" s="4"/>
      <c r="G4" t="inlineStr" s="2">
        <is>
          <t xml:space="preserve">Das kompakte, leichte Design mit integriertem elektronischem Gasmischer macht Cardiohelp II ideal für den Einsatz im Krankenhaus und beim Transport.</t>
        </is>
      </c>
      <c r="H4" t="inlineStr" s="2">
        <is>
          <t xml:space="preserve">Mit Cardiohelp II können sich medizinische Teams auf eine ECLS-Lösung verlassen, die Klarheit, Kontrolle und Vertrauen in kritischen Pflegesituationen bietet - wo und wann immer sie benötigt wird.</t>
        </is>
      </c>
      <c r="I4" t="inlineStr" s="2">
        <is>
          <t xml:space="preserve">Fortschrittliche Überwachungsmöglichkeiten und ein leistungsstarker Oxygenator sind darauf ausgelegt, fundierte Entscheidungen zu unterstützen und Patienten effektiv zu versorgen.</t>
        </is>
      </c>
      <c r="J4" s="4"/>
      <c r="K4" s="2"/>
      <c r="L4" t="str" s="3">
        <f>HYPERLINK("https://www.getinge.com/de/kampagnen/cardiohelp-2/","/kampagnen/cardiohelp-2/")</f>
        <v>/kampagnen/cardiohelp-2/</v>
      </c>
    </row>
    <row r="5">
      <c r="A5" s="0">
        <v>4</v>
      </c>
      <c r="B5" t="str" s="3">
        <f>HYPERLINK("https://www.getinge.com/int/campaigns/cardiohelp-2/","/campaigns/cardiohelp-2/")</f>
        <v>/campaigns/cardiohelp-2/</v>
      </c>
      <c r="C5" t="inlineStr" s="2">
        <is>
          <t xml:space="preserve">Seamless Mobility &amp; Versatility</t>
        </is>
      </c>
      <c r="D5" t="inlineStr" s="2">
        <is>
          <t xml:space="preserve">Nahtlose Mobilität und Vielseitigkeit</t>
        </is>
      </c>
      <c r="E5" t="inlineStr" s="0">
        <is>
          <t xml:space="preserve">Medium</t>
        </is>
      </c>
      <c r="F5" s="4"/>
      <c r="G5" t="inlineStr" s="2">
        <is>
          <t xml:space="preserve">Entscheidungsfindung und klinische Leistung</t>
        </is>
      </c>
      <c r="H5" t="inlineStr" s="2">
        <is>
          <t xml:space="preserve">Benutzerorientiertes Design</t>
        </is>
      </c>
      <c r="I5" s="2"/>
      <c r="J5" s="4"/>
      <c r="K5" s="2"/>
      <c r="L5" t="str" s="3">
        <f>HYPERLINK("https://www.getinge.com/de/kampagnen/cardiohelp-2/","/kampagnen/cardiohelp-2/")</f>
        <v>/kampagnen/cardiohelp-2/</v>
      </c>
    </row>
    <row r="6">
      <c r="A6" s="0">
        <v>5</v>
      </c>
      <c r="B6" t="str" s="3">
        <f>HYPERLINK("https://www.getinge.com/int/campaigns/cardiohelp-2/","/campaigns/cardiohelp-2/")</f>
        <v>/campaigns/cardiohelp-2/</v>
      </c>
      <c r="C6" t="inlineStr" s="2">
        <is>
          <t xml:space="preserve">A compact, lightweight build including an integrable electronic gas blender makes Cardiohelp II ideal for both hospital and transport settings. With Cardiohelp II, healthcare teams can rely on an ECLS solution designed to provide clarity, control, and confidence in critical care situations, wherever and whenever needed.</t>
        </is>
      </c>
      <c r="D6" s="2"/>
      <c r="F6" s="4"/>
      <c r="G6" t="inlineStr" s="2">
        <is>
          <t xml:space="preserve">Mit Cardiohelp II können sich medizinische Teams auf eine ECLS-Lösung verlassen, die Klarheit, Kontrolle und Vertrauen in kritischen Pflegesituationen bietet - wo und wann immer sie benötigt wird.</t>
        </is>
      </c>
      <c r="H6" t="inlineStr" s="2">
        <is>
          <t xml:space="preserve">Das kompakte, leichte Design mit integriertem elektronischem Gasmischer macht Cardiohelp II ideal für den Einsatz im Krankenhaus und beim Transport.</t>
        </is>
      </c>
      <c r="I6" t="inlineStr" s="2">
        <is>
          <t xml:space="preserve">Eine intuitive Benutzeroberfläche und umfangreiche Hilfestellungen sollen die Arbeitsabläufe optimieren und den Anwendern helfen, kritische Situationen sicher zu meistern.</t>
        </is>
      </c>
      <c r="J6" s="4"/>
      <c r="K6" s="2"/>
      <c r="L6" t="str" s="3">
        <f>HYPERLINK("https://www.getinge.com/de/kampagnen/cardiohelp-2/","/kampagnen/cardiohelp-2/")</f>
        <v>/kampagnen/cardiohelp-2/</v>
      </c>
    </row>
    <row r="7">
      <c r="A7" s="0">
        <v>6</v>
      </c>
      <c r="B7" t="str" s="3">
        <f>HYPERLINK("https://www.getinge.com/int/campaigns/cardiohelp-2/","/campaigns/cardiohelp-2/")</f>
        <v>/campaigns/cardiohelp-2/</v>
      </c>
      <c r="C7" t="inlineStr" s="2">
        <is>
          <t xml:space="preserve">Enhanced decision-making &amp; Clinical Performance</t>
        </is>
      </c>
      <c r="D7" t="inlineStr" s="2">
        <is>
          <t xml:space="preserve">Entscheidungsfindung und klinische Leistung</t>
        </is>
      </c>
      <c r="E7" t="inlineStr" s="0">
        <is>
          <t xml:space="preserve">Medium</t>
        </is>
      </c>
      <c r="F7" s="4"/>
      <c r="G7" t="inlineStr" s="2">
        <is>
          <t xml:space="preserve">Nahtlose Mobilität und Vielseitigkeit</t>
        </is>
      </c>
      <c r="H7" s="2"/>
      <c r="I7" s="2"/>
      <c r="J7" s="4"/>
      <c r="K7" s="2"/>
      <c r="L7" t="str" s="3">
        <f>HYPERLINK("https://www.getinge.com/de/kampagnen/cardiohelp-2/","/kampagnen/cardiohelp-2/")</f>
        <v>/kampagnen/cardiohelp-2/</v>
      </c>
    </row>
    <row r="8">
      <c r="A8" s="0">
        <v>7</v>
      </c>
      <c r="B8" t="str" s="3">
        <f>HYPERLINK("https://www.getinge.com/int/campaigns/cardiohelp-2/","/campaigns/cardiohelp-2/")</f>
        <v>/campaigns/cardiohelp-2/</v>
      </c>
      <c r="C8" t="inlineStr" s="2">
        <is>
          <t xml:space="preserve">Advanced monitoring capabilities and a high-performance oxygenator are designed to support informed decision-making and effective patient support.</t>
        </is>
      </c>
      <c r="D8" t="inlineStr" s="2">
        <is>
          <t xml:space="preserve">Fortschrittliche Überwachungsmöglichkeiten und ein leistungsstarker Oxygenator sind darauf ausgelegt, fundierte Entscheidungen zu unterstützen und Patienten effektiv zu versorgen.</t>
        </is>
      </c>
      <c r="E8" t="inlineStr" s="0">
        <is>
          <t xml:space="preserve">Medium</t>
        </is>
      </c>
      <c r="F8" s="4"/>
      <c r="G8" t="inlineStr" s="2">
        <is>
          <t xml:space="preserve">Das kompakte, leichte Design mit integriertem elektronischem Gasmischer macht Cardiohelp II ideal für den Einsatz im Krankenhaus und beim Transport.</t>
        </is>
      </c>
      <c r="H8" t="inlineStr" s="2">
        <is>
          <t xml:space="preserve">Eine intuitive Benutzeroberfläche und umfangreiche Hilfestellungen sollen die Arbeitsabläufe optimieren und den Anwendern helfen, kritische Situationen sicher zu meistern.</t>
        </is>
      </c>
      <c r="I8" t="inlineStr" s="2">
        <is>
          <t xml:space="preserve">Mit Cardiohelp II können sich medizinische Teams auf eine ECLS-Lösung verlassen, die Klarheit, Kontrolle und Vertrauen in kritischen Pflegesituationen bietet - wo und wann immer sie benötigt wird.</t>
        </is>
      </c>
      <c r="J8" s="4"/>
      <c r="K8" s="2"/>
      <c r="L8" t="str" s="3">
        <f>HYPERLINK("https://www.getinge.com/de/kampagnen/cardiohelp-2/","/kampagnen/cardiohelp-2/")</f>
        <v>/kampagnen/cardiohelp-2/</v>
      </c>
    </row>
    <row r="9">
      <c r="A9" s="0">
        <v>8</v>
      </c>
      <c r="B9" t="str" s="3">
        <f>HYPERLINK("https://www.getinge.com/int/insights/academy/","/insights/academy/")</f>
        <v>/insights/academy/</v>
      </c>
      <c r="C9" t="inlineStr" s="2">
        <is>
          <t xml:space="preserve">Sentinel lymph node identification using fluorescence imaging in breast cancer</t>
        </is>
      </c>
      <c r="D9" s="2"/>
      <c r="F9" s="4"/>
      <c r="G9" t="inlineStr" s="2">
        <is>
          <t xml:space="preserve">Prof. Dr. P. Lepper, Chefarzt Zentrale Notaufnahme Universitätsklinikum des Saarlandes</t>
        </is>
      </c>
      <c r="H9" t="inlineStr" s="2">
        <is>
          <t xml:space="preserve">Atemtherapie am Lebensende – Entscheidungsfindung mit Würde Dennis Voigt (Magdeburg)</t>
        </is>
      </c>
      <c r="I9" t="inlineStr" s="2">
        <is>
          <t xml:space="preserve">Kompetenzen und Perspektiven der finalen Extubation Valery Kitz, M.Sc (Hamburg)</t>
        </is>
      </c>
      <c r="J9" s="4"/>
      <c r="K9" s="2"/>
      <c r="L9" t="str" s="3">
        <f>HYPERLINK("https://www.getinge.com/de/news-und-events/akademie/","/news-und-events/akademie/")</f>
        <v>/news-und-events/akademie/</v>
      </c>
    </row>
    <row r="10">
      <c r="A10" s="0">
        <v>9</v>
      </c>
      <c r="B10" t="str" s="3">
        <f>HYPERLINK("https://www.getinge.com/int/insights/academy/","/insights/academy/")</f>
        <v>/insights/academy/</v>
      </c>
      <c r="C10" t="inlineStr" s="2">
        <is>
          <t xml:space="preserve">May 13 2023, 60 min Webinar with speaker Prof. Meriem Koual, Associate Professor - Gynecological and Breast Oncologic Surgery Department, Paris, France.</t>
        </is>
      </c>
      <c r="D10" s="2"/>
      <c r="F10" s="4"/>
      <c r="G10" t="inlineStr" s="2">
        <is>
          <t xml:space="preserve">Univ.-Prof. Dr. P. Lepper, FCCP, Ärztlicher Direktor Klinik für Innere Medizin, Pneumologie und Internistische Intensivmedizin Universitätsklinikum OWL der Universität Bielefeld</t>
        </is>
      </c>
      <c r="H10" t="inlineStr" s="2">
        <is>
          <t xml:space="preserve">Prof. Dr. P. Lepper, Direktor der Klinik für Innere Medizin, Pneumologie und Internistische Intensivmedizin, Ev. Klinikum Bethel, Universitätsklinikum OWL</t>
        </is>
      </c>
      <c r="I10" t="inlineStr" s="2">
        <is>
          <t xml:space="preserve">Atemgasbefeuchtung – kleine Maßnahme, große Wirkung? Evidenzbasierte Praxis bei NIV und invasiver Beatmung. Marion Diegelmann (Bad Salzschlirf)</t>
        </is>
      </c>
      <c r="J10" s="4"/>
      <c r="K10" s="2"/>
      <c r="L10" t="str" s="3">
        <f>HYPERLINK("https://www.getinge.com/de/news-und-events/akademie/","/news-und-events/akademie/")</f>
        <v>/news-und-events/akademie/</v>
      </c>
    </row>
    <row r="11">
      <c r="A11" s="0">
        <v>10</v>
      </c>
      <c r="B11" t="str" s="3">
        <f>HYPERLINK("https://www.getinge.com/int/insights/academy/","/insights/academy/")</f>
        <v>/insights/academy/</v>
      </c>
      <c r="C11" t="inlineStr" s="2">
        <is>
          <t xml:space="preserve">Getinge summit: Heart-Lung Interaction</t>
        </is>
      </c>
      <c r="D11" s="2"/>
      <c r="F11" s="4"/>
      <c r="G11" t="inlineStr" s="2">
        <is>
          <t xml:space="preserve">Short guide: Flow Family waveforms and loops</t>
        </is>
      </c>
      <c r="H11" t="inlineStr" s="2">
        <is>
          <t xml:space="preserve">Advanced Monitoring Troubleshooting Guide</t>
        </is>
      </c>
      <c r="I11" t="inlineStr" s="2">
        <is>
          <t xml:space="preserve">15. Forum für Atmungstherapie und Intensivbeatmung</t>
        </is>
      </c>
      <c r="J11" s="4"/>
      <c r="K11" s="2"/>
      <c r="L11" t="str" s="3">
        <f>HYPERLINK("https://www.getinge.com/de/news-und-events/akademie/","/news-und-events/akademie/")</f>
        <v>/news-und-events/akademie/</v>
      </c>
    </row>
    <row r="12">
      <c r="A12" s="0">
        <v>11</v>
      </c>
      <c r="B12" t="str" s="3">
        <f>HYPERLINK("https://www.getinge.com/int/insights/academy/","/insights/academy/")</f>
        <v>/insights/academy/</v>
      </c>
      <c r="C12" t="inlineStr" s="2">
        <is>
          <t xml:space="preserve">Transpulmonary pressure: from science to practice</t>
        </is>
      </c>
      <c r="D12" s="2"/>
      <c r="F12" s="4"/>
      <c r="G12" t="inlineStr" s="2">
        <is>
          <t xml:space="preserve">Learn about IABP waveforms, and bedside monitor pressures</t>
        </is>
      </c>
      <c r="H12" t="inlineStr" s="2">
        <is>
          <t xml:space="preserve">NIV – wir müssen das wollen! André Meckbach (Hamburg)</t>
        </is>
      </c>
      <c r="I12" t="inlineStr" s="2">
        <is>
          <t xml:space="preserve">Spontanatmung im ARDS Benjamin Neetz (Heidelberg)</t>
        </is>
      </c>
      <c r="J12" s="4"/>
      <c r="K12" s="2"/>
      <c r="L12" t="str" s="3">
        <f>HYPERLINK("https://www.getinge.com/de/news-und-events/akademie/","/news-und-events/akademie/")</f>
        <v>/news-und-events/akademie/</v>
      </c>
    </row>
    <row r="13">
      <c r="A13" s="0">
        <v>12</v>
      </c>
      <c r="B13" t="str" s="3">
        <f>HYPERLINK("https://www.getinge.com/int/insights/academy/","/insights/academy/")</f>
        <v>/insights/academy/</v>
      </c>
      <c r="C13" t="inlineStr" s="2">
        <is>
          <t xml:space="preserve">June 25 2024, 60 min Available on-demand now: peer-to-peer educational event with Dr. Heder de Vries!</t>
        </is>
      </c>
      <c r="D13" s="2"/>
      <c r="F13" s="4"/>
      <c r="G13" t="inlineStr" s="2">
        <is>
          <t xml:space="preserve">Dr. T. Spangenberg, Leitender Oberarzt, Kardiologie und internistische Intensivmedizin, Asklepios Klinik Hamburg Altona</t>
        </is>
      </c>
      <c r="H13" t="inlineStr" s="2">
        <is>
          <t xml:space="preserve">Prof. Dr. R. M. Muellenbach, Chefarzt Anästhesiologie, Intensivmedizin, Notfallmedizin und Schmerztherapie, Klinikum Kassel</t>
        </is>
      </c>
      <c r="I13" t="inlineStr" s="2">
        <is>
          <t xml:space="preserve">Prof. Dr. H. Mutlak, Chefarzt Anästhesiologie, Intensivmedizin und Schmerztherapie, SANA Klinikum Offenbach</t>
        </is>
      </c>
      <c r="J13" s="4"/>
      <c r="K13" s="2"/>
      <c r="L13" t="str" s="3">
        <f>HYPERLINK("https://www.getinge.com/de/news-und-events/akademie/","/news-und-events/akademie/")</f>
        <v>/news-und-events/akademie/</v>
      </c>
    </row>
    <row r="14">
      <c r="A14" s="0">
        <v>13</v>
      </c>
      <c r="B14" t="str" s="3">
        <f>HYPERLINK("https://www.getinge.com/int/insights/academy/","/insights/academy/")</f>
        <v>/insights/academy/</v>
      </c>
      <c r="C14" t="inlineStr" s="2">
        <is>
          <t xml:space="preserve">Episode 1: Main uses of EMCO</t>
        </is>
      </c>
      <c r="D14" s="2"/>
      <c r="F14" s="4"/>
      <c r="G14" t="inlineStr" s="2">
        <is>
          <t xml:space="preserve">ECMO Online Symposium Februar 2025</t>
        </is>
      </c>
      <c r="H14" t="inlineStr" s="2">
        <is>
          <t xml:space="preserve">ECMO Online Symposium Juni 2025</t>
        </is>
      </c>
      <c r="I14" t="inlineStr" s="2">
        <is>
          <t xml:space="preserve">ECMO Online Symposium September 2024</t>
        </is>
      </c>
      <c r="J14" s="4"/>
      <c r="K14" s="2"/>
      <c r="L14" t="str" s="3">
        <f>HYPERLINK("https://www.getinge.com/de/news-und-events/akademie/","/news-und-events/akademie/")</f>
        <v>/news-und-events/akademie/</v>
      </c>
    </row>
    <row r="15">
      <c r="A15" s="0">
        <v>14</v>
      </c>
      <c r="B15" t="str" s="3">
        <f>HYPERLINK("https://www.getinge.com/int/insights/academy/","/insights/academy/")</f>
        <v>/insights/academy/</v>
      </c>
      <c r="C15" t="inlineStr" s="2">
        <is>
          <t xml:space="preserve">Jan 10 2024, 60 min Embark on a transformative exploration featuring two distinguished speakers: Jan Bělohlávek from Prague and Christian Karagiannidis from Cologne</t>
        </is>
      </c>
      <c r="D15" s="2"/>
      <c r="F15" s="4"/>
      <c r="G15" t="inlineStr" s="2">
        <is>
          <t xml:space="preserve">Univ.-Prof. Dr. P. Lepper, FCCP, Ärztlicher Direktor Klinik für Innere Medizin, Pneumologie und Internistische Intensivmedizin Universitätsklinikum OWL der Universität Bielefeld</t>
        </is>
      </c>
      <c r="H15" t="inlineStr" s="2">
        <is>
          <t xml:space="preserve">Prof. Dr. P. Lepper, Direktor der Klinik für Innere Medizin, Pneumologie und Internistische Intensivmedizin, Ev. Klinikum Bethel, Universitätsklinikum OWL</t>
        </is>
      </c>
      <c r="I15" s="2"/>
      <c r="J15" s="4"/>
      <c r="K15" s="2"/>
      <c r="L15" t="str" s="3">
        <f>HYPERLINK("https://www.getinge.com/de/news-und-events/akademie/","/news-und-events/akademie/")</f>
        <v>/news-und-events/akademie/</v>
      </c>
    </row>
    <row r="16">
      <c r="A16" s="0">
        <v>15</v>
      </c>
      <c r="B16" t="str" s="3">
        <f>HYPERLINK("https://www.getinge.com/int/insights/academy/","/insights/academy/")</f>
        <v>/insights/academy/</v>
      </c>
      <c r="C16" t="inlineStr" s="2">
        <is>
          <t xml:space="preserve">Management of the Neonate</t>
        </is>
      </c>
      <c r="D16" s="2"/>
      <c r="F16" s="4"/>
      <c r="G16" t="inlineStr" s="2">
        <is>
          <t xml:space="preserve">The IABP Numbers Game booklet</t>
        </is>
      </c>
      <c r="H16" t="inlineStr" s="2">
        <is>
          <t xml:space="preserve">Short guide: Flow-c Anesthesia System</t>
        </is>
      </c>
      <c r="I16" t="inlineStr" s="2">
        <is>
          <t xml:space="preserve">Advanced Monitoring Troubleshooting Guide</t>
        </is>
      </c>
      <c r="J16" s="4"/>
      <c r="K16" s="2"/>
      <c r="L16" t="str" s="3">
        <f>HYPERLINK("https://www.getinge.com/de/news-und-events/akademie/","/news-und-events/akademie/")</f>
        <v>/news-und-events/akademie/</v>
      </c>
    </row>
    <row r="17">
      <c r="A17" s="0">
        <v>16</v>
      </c>
      <c r="B17" t="str" s="3">
        <f>HYPERLINK("https://www.getinge.com/int/insights/academy/","/insights/academy/")</f>
        <v>/insights/academy/</v>
      </c>
      <c r="C17" t="inlineStr" s="2">
        <is>
          <t xml:space="preserve">Oct 6-7 2023, several lectures Getinge Ventilation Summit Experienced lecturers and practitioners share insights and practical knowledge.</t>
        </is>
      </c>
      <c r="D17" s="2"/>
      <c r="F17" s="4"/>
      <c r="G17" t="inlineStr" s="2">
        <is>
          <t xml:space="preserve">Prof. Dr. P. Lepper, Direktor der Klinik für Innere Medizin, Pneumologie und Internistische Intensivmedizin, Ev. Klinikum Bethel, Universitätsklinikum OWL</t>
        </is>
      </c>
      <c r="H17" t="inlineStr" s="2">
        <is>
          <t xml:space="preserve">Atemgasbefeuchtung – kleine Maßnahme, große Wirkung? Evidenzbasierte Praxis bei NIV und invasiver Beatmung. Marion Diegelmann (Bad Salzschlirf)</t>
        </is>
      </c>
      <c r="I17" t="inlineStr" s="2">
        <is>
          <t xml:space="preserve">Univ.-Prof. Dr. P. Lepper, FCCP, Ärztlicher Direktor Klinik für Innere Medizin, Pneumologie und Internistische Intensivmedizin Universitätsklinikum OWL der Universität Bielefeld</t>
        </is>
      </c>
      <c r="J17" s="4"/>
      <c r="K17" s="2"/>
      <c r="L17" t="str" s="3">
        <f>HYPERLINK("https://www.getinge.com/de/news-und-events/akademie/","/news-und-events/akademie/")</f>
        <v>/news-und-events/akademie/</v>
      </c>
    </row>
    <row r="18">
      <c r="A18" s="0">
        <v>17</v>
      </c>
      <c r="B18" t="str" s="3">
        <f>HYPERLINK("https://www.getinge.com/int/insights/academy/","/insights/academy/")</f>
        <v>/insights/academy/</v>
      </c>
      <c r="C18" t="inlineStr" s="2">
        <is>
          <t xml:space="preserve">Ventilation of patients before, during and after ECMO/ECLS procedures</t>
        </is>
      </c>
      <c r="D18" s="2"/>
      <c r="F18" s="4"/>
      <c r="G18" t="inlineStr" s="2">
        <is>
          <t xml:space="preserve">Atemtherapie am Lebensende – Entscheidungsfindung mit Würde Dennis Voigt (Magdeburg)</t>
        </is>
      </c>
      <c r="H18" t="inlineStr" s="2">
        <is>
          <t xml:space="preserve">Kompetenzen und Perspektiven der finalen Extubation Valery Kitz, M.Sc (Hamburg)</t>
        </is>
      </c>
      <c r="I18" t="inlineStr" s="2">
        <is>
          <t xml:space="preserve">Die BGA als zentrales Steuerelement der Respiratortherapie Tom Alferink (Essen)</t>
        </is>
      </c>
      <c r="J18" s="4"/>
      <c r="K18" s="2"/>
      <c r="L18" t="str" s="3">
        <f>HYPERLINK("https://www.getinge.com/de/news-und-events/akademie/","/news-und-events/akademie/")</f>
        <v>/news-und-events/akademie/</v>
      </c>
    </row>
    <row r="19">
      <c r="A19" s="0">
        <v>18</v>
      </c>
      <c r="B19" t="str" s="3">
        <f>HYPERLINK("https://www.getinge.com/int/insights/academy/","/insights/academy/")</f>
        <v>/insights/academy/</v>
      </c>
      <c r="C19" t="inlineStr" s="2">
        <is>
          <t xml:space="preserve">June 16-17 2023, several lectures Getinge Ventilation Summit Experienced lecturers and practitioners share insights and practical knowledge.</t>
        </is>
      </c>
      <c r="D19" s="2"/>
      <c r="F19" s="4"/>
      <c r="G19" t="inlineStr" s="2">
        <is>
          <t xml:space="preserve">Prof. Dr. P. Lepper, Direktor der Klinik für Innere Medizin, Pneumologie und Internistische Intensivmedizin, Ev. Klinikum Bethel, Universitätsklinikum OWL</t>
        </is>
      </c>
      <c r="H19" t="inlineStr" s="2">
        <is>
          <t xml:space="preserve">Atemgasbefeuchtung – kleine Maßnahme, große Wirkung? Evidenzbasierte Praxis bei NIV und invasiver Beatmung. Marion Diegelmann (Bad Salzschlirf)</t>
        </is>
      </c>
      <c r="I19" t="inlineStr" s="2">
        <is>
          <t xml:space="preserve">Univ.-Prof. Dr. P. Lepper, FCCP, Ärztlicher Direktor Klinik für Innere Medizin, Pneumologie und Internistische Intensivmedizin Universitätsklinikum OWL der Universität Bielefeld</t>
        </is>
      </c>
      <c r="J19" s="4"/>
      <c r="K19" s="2"/>
      <c r="L19" t="str" s="3">
        <f>HYPERLINK("https://www.getinge.com/de/news-und-events/akademie/","/news-und-events/akademie/")</f>
        <v>/news-und-events/akademie/</v>
      </c>
    </row>
    <row r="20">
      <c r="A20" s="0">
        <v>19</v>
      </c>
      <c r="B20" t="str" s="3">
        <f>HYPERLINK("https://www.getinge.com/int/insights/academy/","/insights/academy/")</f>
        <v>/insights/academy/</v>
      </c>
      <c r="C20" t="inlineStr" s="2">
        <is>
          <t xml:space="preserve">NIV NAVA in pediatric acute respiratory failure</t>
        </is>
      </c>
      <c r="D20" s="2"/>
      <c r="F20" s="4"/>
      <c r="G20" t="inlineStr" s="2">
        <is>
          <t xml:space="preserve">NIV – wir müssen das wollen! André Meckbach (Hamburg)</t>
        </is>
      </c>
      <c r="H20" t="inlineStr" s="2">
        <is>
          <t xml:space="preserve">Learn about IABP waveforms, and bedside monitor pressures</t>
        </is>
      </c>
      <c r="I20" t="inlineStr" s="2">
        <is>
          <t xml:space="preserve">Spontanatmung im ARDS Benjamin Neetz (Heidelberg)</t>
        </is>
      </c>
      <c r="J20" s="4"/>
      <c r="K20" s="2"/>
      <c r="L20" t="str" s="3">
        <f>HYPERLINK("https://www.getinge.com/de/news-und-events/akademie/","/news-und-events/akademie/")</f>
        <v>/news-und-events/akademie/</v>
      </c>
    </row>
    <row r="21">
      <c r="A21" s="0">
        <v>20</v>
      </c>
      <c r="B21" t="str" s="3">
        <f>HYPERLINK("https://www.getinge.com/int/insights/academy/","/insights/academy/")</f>
        <v>/insights/academy/</v>
      </c>
      <c r="C21" t="inlineStr" s="2">
        <is>
          <t xml:space="preserve">Feb 23 2023, 60 min Prof. De Luca discusses the results of a controlled before-after quality improvement study, published in 2021 in the “Anesthesia, Analgesia and Critical Care” journal.</t>
        </is>
      </c>
      <c r="D21" s="2"/>
      <c r="F21" s="4"/>
      <c r="G21" t="inlineStr" s="2">
        <is>
          <t xml:space="preserve">Univ.-Prof. Dr. med. H. Bracht, Universitätsprofessor für Interdisziplinäre Intensivmedizin, stellv. Klinikdirektor, Universitätsklinik für Anästhesiologie, Intensiv-, Notfallmedizin Universitätsklinikum OWL der Universität Bielefeld</t>
        </is>
      </c>
      <c r="H21" t="inlineStr" s="2">
        <is>
          <t xml:space="preserve">Univ.-Prof. Dr. P. Lepper, FCCP, Ärztlicher Direktor Klinik für Innere Medizin, Pneumologie und Internistische Intensivmedizin Universitätsklinikum OWL der Universität Bielefeld</t>
        </is>
      </c>
      <c r="I21" s="2"/>
      <c r="J21" s="4"/>
      <c r="K21" s="2"/>
      <c r="L21" t="str" s="3">
        <f>HYPERLINK("https://www.getinge.com/de/news-und-events/akademie/","/news-und-events/akademie/")</f>
        <v>/news-und-events/akademie/</v>
      </c>
    </row>
    <row r="22">
      <c r="A22" s="0">
        <v>21</v>
      </c>
      <c r="B22" t="str" s="3">
        <f>HYPERLINK("https://www.getinge.com/int/insights/academy/","/insights/academy/")</f>
        <v>/insights/academy/</v>
      </c>
      <c r="C22" t="inlineStr" s="2">
        <is>
          <t xml:space="preserve">Advanced Monitoring Troubleshooting Guide</t>
        </is>
      </c>
      <c r="D22" s="2"/>
      <c r="F22" s="4"/>
      <c r="G22" t="inlineStr" s="2">
        <is>
          <t xml:space="preserve">Short guide: Flow Family waveforms and loops</t>
        </is>
      </c>
      <c r="H22" t="inlineStr" s="2">
        <is>
          <t xml:space="preserve">Short guide: Flow Family waveforms and loops</t>
        </is>
      </c>
      <c r="I22" t="inlineStr" s="2">
        <is>
          <t xml:space="preserve">Short guide: Flow-c Anesthesia System</t>
        </is>
      </c>
      <c r="J22" s="4"/>
      <c r="K22" s="2"/>
      <c r="L22" t="str" s="3">
        <f>HYPERLINK("https://www.getinge.com/de/news-und-events/akademie/","/news-und-events/akademie/")</f>
        <v>/news-und-events/akademie/</v>
      </c>
    </row>
    <row r="23">
      <c r="A23" s="0">
        <v>22</v>
      </c>
      <c r="B23" t="str" s="3">
        <f>HYPERLINK("https://www.getinge.com/int/insights/academy/","/insights/academy/")</f>
        <v>/insights/academy/</v>
      </c>
      <c r="C23" t="inlineStr" s="2">
        <is>
          <t xml:space="preserve">Online troubleshooting guide for Pulsiocare • Pulsioflex and PiCCO • ProAQT (multiple languages)</t>
        </is>
      </c>
      <c r="D23" s="2"/>
      <c r="F23" s="4"/>
      <c r="G23" t="inlineStr" s="2">
        <is>
          <t xml:space="preserve">Prof. Dr. H. Mutlak, Chefarzt Anästhesiologie, Intensivmedizin und Schmerztherapie, SANA Klinikum Offenbach</t>
        </is>
      </c>
      <c r="H23" t="inlineStr" s="2">
        <is>
          <t xml:space="preserve">Dr. T. Spangenberg, Leitender Oberarzt, Kardiologie und internistische Intensivmedizin, Asklepios Klinik Hamburg Altona</t>
        </is>
      </c>
      <c r="I23" t="inlineStr" s="2">
        <is>
          <t xml:space="preserve">Prof. Dr. R. M. Muellenbach, Chefarzt Anästhesiologie, Intensivmedizin, Notfallmedizin und Schmerztherapie, Klinikum Kassel</t>
        </is>
      </c>
      <c r="J23" s="4"/>
      <c r="K23" s="2"/>
      <c r="L23" t="str" s="3">
        <f>HYPERLINK("https://www.getinge.com/de/news-und-events/akademie/","/news-und-events/akademie/")</f>
        <v>/news-und-events/akademie/</v>
      </c>
    </row>
    <row r="24">
      <c r="A24" s="0">
        <v>23</v>
      </c>
      <c r="B24" t="str" s="3">
        <f>HYPERLINK("https://www.getinge.com/int/insights/academy/","/insights/academy/")</f>
        <v>/insights/academy/</v>
      </c>
      <c r="C24" t="inlineStr" s="2">
        <is>
          <t xml:space="preserve">Documents</t>
        </is>
      </c>
      <c r="D24" t="inlineStr" s="2">
        <is>
          <t xml:space="preserve">Dokumente</t>
        </is>
      </c>
      <c r="E24" t="inlineStr" s="0">
        <is>
          <t xml:space="preserve">High</t>
        </is>
      </c>
      <c r="F24" s="4"/>
      <c r="G24" t="inlineStr" s="2">
        <is>
          <t xml:space="preserve">Sonstige</t>
        </is>
      </c>
      <c r="H24" t="inlineStr" s="2">
        <is>
          <t xml:space="preserve">15. Juli 2025</t>
        </is>
      </c>
      <c r="I24" t="inlineStr" s="2">
        <is>
          <t xml:space="preserve">28. Juni 2025</t>
        </is>
      </c>
      <c r="J24" s="4"/>
      <c r="K24" s="2"/>
      <c r="L24" t="str" s="3">
        <f>HYPERLINK("https://www.getinge.com/de/news-und-events/akademie/","/news-und-events/akademie/")</f>
        <v>/news-und-events/akademie/</v>
      </c>
    </row>
    <row r="25">
      <c r="A25" s="0">
        <v>24</v>
      </c>
      <c r="B25" t="str" s="3">
        <f>HYPERLINK("https://www.getinge.com/int/insights/academy/","/insights/academy/")</f>
        <v>/insights/academy/</v>
      </c>
      <c r="C25" t="inlineStr" s="2">
        <is>
          <t xml:space="preserve">The IABP Numbers Game booklet</t>
        </is>
      </c>
      <c r="D25" s="2"/>
      <c r="F25" s="4"/>
      <c r="G25" t="inlineStr" s="2">
        <is>
          <t xml:space="preserve">Short guide: Flow-c Anesthesia System</t>
        </is>
      </c>
      <c r="H25" t="inlineStr" s="2">
        <is>
          <t xml:space="preserve">Advanced Monitoring Troubleshooting Guide</t>
        </is>
      </c>
      <c r="I25" t="inlineStr" s="2">
        <is>
          <t xml:space="preserve">Short guide: Flow Family waveforms and loops</t>
        </is>
      </c>
      <c r="J25" s="4"/>
      <c r="K25" s="2"/>
      <c r="L25" t="str" s="3">
        <f>HYPERLINK("https://www.getinge.com/de/news-und-events/akademie/","/news-und-events/akademie/")</f>
        <v>/news-und-events/akademie/</v>
      </c>
    </row>
    <row r="26">
      <c r="A26" s="0">
        <v>25</v>
      </c>
      <c r="B26" t="str" s="3">
        <f>HYPERLINK("https://www.getinge.com/int/insights/academy/","/insights/academy/")</f>
        <v>/insights/academy/</v>
      </c>
      <c r="C26" t="inlineStr" s="2">
        <is>
          <t xml:space="preserve">Learn about IABP waveforms, and bedside monitor pressures</t>
        </is>
      </c>
      <c r="D26" s="2"/>
      <c r="F26" s="4"/>
      <c r="G26" t="inlineStr" s="2">
        <is>
          <t xml:space="preserve">"End of Life Situation" in der Außerklinik Ruth Hoffmann (Erkelenz)</t>
        </is>
      </c>
      <c r="H26" t="inlineStr" s="2">
        <is>
          <t xml:space="preserve">Hämodynamische Herausforderungen der Überdruckbeatmung Rüdiger Pies (Trier)</t>
        </is>
      </c>
      <c r="I26" t="inlineStr" s="2">
        <is>
          <t xml:space="preserve">Short guide: Flow Family waveforms and loops</t>
        </is>
      </c>
      <c r="J26" s="4"/>
      <c r="K26" s="2"/>
      <c r="L26" t="str" s="3">
        <f>HYPERLINK("https://www.getinge.com/de/news-und-events/akademie/","/news-und-events/akademie/")</f>
        <v>/news-und-events/akademie/</v>
      </c>
    </row>
    <row r="27">
      <c r="A27" s="0">
        <v>26</v>
      </c>
      <c r="B27" t="str" s="3">
        <f>HYPERLINK("https://www.getinge.com/int/insights/academy/","/insights/academy/")</f>
        <v>/insights/academy/</v>
      </c>
      <c r="C27" t="inlineStr" s="2">
        <is>
          <t xml:space="preserve">Short guide: How to perform lung recruitment step by step</t>
        </is>
      </c>
      <c r="D27" t="inlineStr" s="2">
        <is>
          <t xml:space="preserve">Short guide: How to perform lung recruitment step by step with Flow Family anesthesia machine</t>
        </is>
      </c>
      <c r="E27" t="inlineStr" s="0">
        <is>
          <t xml:space="preserve">Medium</t>
        </is>
      </c>
      <c r="F27" s="4"/>
      <c r="G27" t="inlineStr" s="2">
        <is>
          <t xml:space="preserve">Short guide: Flow Family waveforms and loops</t>
        </is>
      </c>
      <c r="H27" t="inlineStr" s="2">
        <is>
          <t xml:space="preserve">Short guide: Flow Family waveforms and loops</t>
        </is>
      </c>
      <c r="I27" t="inlineStr" s="2">
        <is>
          <t xml:space="preserve">"End of Life Situation" in der Außerklinik Ruth Hoffmann (Erkelenz)</t>
        </is>
      </c>
      <c r="J27" s="4"/>
      <c r="K27" s="2"/>
      <c r="L27" t="str" s="3">
        <f>HYPERLINK("https://www.getinge.com/de/news-und-events/akademie/","/news-und-events/akademie/")</f>
        <v>/news-und-events/akademie/</v>
      </c>
    </row>
    <row r="28">
      <c r="A28" s="0">
        <v>27</v>
      </c>
      <c r="B28" t="str" s="3">
        <f>HYPERLINK("https://www.getinge.com/int/insights/academy/","/insights/academy/")</f>
        <v>/insights/academy/</v>
      </c>
      <c r="C28" t="inlineStr" s="2">
        <is>
          <t xml:space="preserve">Short guide: How to perform lung recruitment step by step with Flow Family anesthesia machine</t>
        </is>
      </c>
      <c r="D28" s="2"/>
      <c r="F28" s="4"/>
      <c r="G28" t="inlineStr" s="2">
        <is>
          <t xml:space="preserve">Short guide: How to perform lung recruitment step by step</t>
        </is>
      </c>
      <c r="H28" t="inlineStr" s="2">
        <is>
          <t xml:space="preserve">Short guide: Flow Family waveforms and loops</t>
        </is>
      </c>
      <c r="I28" t="inlineStr" s="2">
        <is>
          <t xml:space="preserve">Prof. Dr. H. Mutlak, Chefarzt Anästhesiologie, Intensivmedizin und Schmerztherapie, SANA Klinikum Offenbach</t>
        </is>
      </c>
      <c r="J28" s="4"/>
      <c r="K28" s="2"/>
      <c r="L28" t="str" s="3">
        <f>HYPERLINK("https://www.getinge.com/de/news-und-events/akademie/","/news-und-events/akademie/")</f>
        <v>/news-und-events/akademie/</v>
      </c>
    </row>
    <row r="29">
      <c r="A29" s="0">
        <v>28</v>
      </c>
      <c r="B29" t="str" s="3">
        <f>HYPERLINK("https://www.getinge.com/int/insights/academy/","/insights/academy/")</f>
        <v>/insights/academy/</v>
      </c>
      <c r="C29" t="inlineStr" s="2">
        <is>
          <t xml:space="preserve">Short guide: Flow-c Anesthesia System</t>
        </is>
      </c>
      <c r="D29" t="inlineStr" s="2">
        <is>
          <t xml:space="preserve">Short guide: Flow Family waveforms and loops</t>
        </is>
      </c>
      <c r="E29" t="inlineStr" s="0">
        <is>
          <t xml:space="preserve">High</t>
        </is>
      </c>
      <c r="F29" s="4"/>
      <c r="G29" t="inlineStr" s="2">
        <is>
          <t xml:space="preserve">Short guide: Flow Family waveforms and loops</t>
        </is>
      </c>
      <c r="H29" t="inlineStr" s="2">
        <is>
          <t xml:space="preserve">Advanced Monitoring Troubleshooting Guide</t>
        </is>
      </c>
      <c r="I29" t="inlineStr" s="2">
        <is>
          <t xml:space="preserve">Spontanatmung im ARDS Benjamin Neetz (Heidelberg)</t>
        </is>
      </c>
      <c r="J29" s="4"/>
      <c r="K29" t="inlineStr" s="2">
        <is>
          <t xml:space="preserve">protected-token-mismatch: missing in target: Flow-c</t>
        </is>
      </c>
      <c r="L29" t="str" s="3">
        <f>HYPERLINK("https://www.getinge.com/de/news-und-events/akademie/","/news-und-events/akademie/")</f>
        <v>/news-und-events/akademie/</v>
      </c>
    </row>
    <row r="30">
      <c r="A30" s="0">
        <v>29</v>
      </c>
      <c r="B30" t="str" s="3">
        <f>HYPERLINK("https://www.getinge.com/int/insights/academy/","/insights/academy/")</f>
        <v>/insights/academy/</v>
      </c>
      <c r="C30" t="inlineStr" s="2">
        <is>
          <t xml:space="preserve">Short guide: Flow Family waveforms and loops</t>
        </is>
      </c>
      <c r="D30" t="inlineStr" s="2">
        <is>
          <t xml:space="preserve">Short guide: Flow-c Anesthesia System</t>
        </is>
      </c>
      <c r="E30" t="inlineStr" s="0">
        <is>
          <t xml:space="preserve">Medium</t>
        </is>
      </c>
      <c r="F30" s="4"/>
      <c r="G30" t="inlineStr" s="2">
        <is>
          <t xml:space="preserve">Advanced Monitoring Troubleshooting Guide</t>
        </is>
      </c>
      <c r="H30" t="inlineStr" s="2">
        <is>
          <t xml:space="preserve">Learn about IABP waveforms, and bedside monitor pressures</t>
        </is>
      </c>
      <c r="I30" t="inlineStr" s="2">
        <is>
          <t xml:space="preserve">Spontanatmung im ARDS Benjamin Neetz (Heidelberg)</t>
        </is>
      </c>
      <c r="J30" s="4"/>
      <c r="K30" s="2"/>
      <c r="L30" t="str" s="3">
        <f>HYPERLINK("https://www.getinge.com/de/news-und-events/akademie/","/news-und-events/akademie/")</f>
        <v>/news-und-events/akademie/</v>
      </c>
    </row>
    <row r="31">
      <c r="A31" s="0">
        <v>30</v>
      </c>
      <c r="B31" t="str" s="3">
        <f>HYPERLINK("https://www.getinge.com/int/insights/articles/digital-health/data-driven-patient-flow-management/","/insights/articles/digital-health/data-driven-patient-flow-management/")</f>
        <v>/insights/articles/digital-health/data-driven-patient-flow-management/</v>
      </c>
      <c r="C31" t="inlineStr" s="2">
        <is>
          <t xml:space="preserve">Hospitals face rising patient numbers and limited staff, making coordination increasingly difficult. To better manage these pressures, several Danish healthcare facilities implemented INSIGHT — a patient flow management solution that connects staff, resources, and communication in real time. According to an evaluation study summarized in Evaluating INSIGHT [1] the solution led to faster response times, clearer task visibility, and significantly fewer disruptions across key departments.</t>
        </is>
      </c>
      <c r="D31" s="2"/>
      <c r="F31" s="4"/>
      <c r="G31" t="inlineStr" s="2">
        <is>
          <t xml:space="preserve">Laut einer in „Evaluating INSIGHT“ [1] zusammengefassten Evaluierungsstudie führte die Lösung zu schnelleren Reaktionszeiten, einer klareren Sichtbarkeit der Aufgaben und deutlich weniger Störungen in wichtigen Abteilungen.</t>
        </is>
      </c>
      <c r="H31" t="inlineStr" s="2">
        <is>
          <t xml:space="preserve">Steigende Patientenzahlen bei gleichzeitig begrenzten Personalressourcen stellen Krankenhäuser vor wachsende Herausforderungen in der Koordination. Um diesen Druck besser zu bewältigen, haben mehrere dänische Gesundheitseinrichtungen INSIGHT eingeführt – eine Lösung für das Patient Flow Management, die Mitarbeitende, Ressourcen und Kommunikation in Echtzeit miteinander vernetzt.</t>
        </is>
      </c>
      <c r="I31" s="2"/>
      <c r="J31" s="4"/>
      <c r="K31" s="2"/>
      <c r="L31" t="str" s="3">
        <f>HYPERLINK("https://www.getinge.com/de/news-und-events/klinische-einblicke/digitalisierung-im-gesundheitswesen/verbesserung-des-patientenflusses-durch-echtzeit-einblicke/","/news-und-events/klinische-einblicke/digitalisierung-im-gesundheitswesen/verbesserung-des-patientenflusses-durch-echtzeit-einblicke/")</f>
        <v>/news-und-events/klinische-einblicke/digitalisierung-im-gesundheitswesen/verbesserung-des-patientenflusses-durch-echtzeit-einblicke/</v>
      </c>
    </row>
    <row r="32">
      <c r="A32" s="0">
        <v>31</v>
      </c>
      <c r="B32" t="str" s="3">
        <f>HYPERLINK("https://www.getinge.com/int/insights/articles/digital-health/data-driven-patient-flow-management/","/insights/articles/digital-health/data-driven-patient-flow-management/")</f>
        <v>/insights/articles/digital-health/data-driven-patient-flow-management/</v>
      </c>
      <c r="C32" t="inlineStr" s="2">
        <is>
          <t xml:space="preserve">Staff particularly appreciated the reduced stress levels due to lower noise — primarily thanks to fewer ringing phones. With key data easily accessible on-screen, teams experienced fewer disruptive calls and a calmer working environment. An internal hospital study showed that incoming calls in the operating department dropped by 39% when using INSIGHT.</t>
        </is>
      </c>
      <c r="D32" s="2"/>
      <c r="F32" s="4"/>
      <c r="G32" t="inlineStr" s="2">
        <is>
          <t xml:space="preserve">Eine interne Krankenhausstudie zeigte, dass die Anzahl eingehender Anrufe im OP-Bereich bei Nutzung von INSIGHT um 39 % sank.</t>
        </is>
      </c>
      <c r="H32" t="inlineStr" s="2">
        <is>
          <t xml:space="preserve">Besonders positiv bewertete das Personal die reduzierte Lärmbelastung – vor allem durch weniger klingelnde Telefone. Da relevante Informationen jederzeit gut sichtbar auf den Bildschirmen verfügbar sind, kam es zu deutlich weniger unterbrechenden Anrufen und zu einer ruhigeren Arbeitsatmosphäre.</t>
        </is>
      </c>
      <c r="I32" s="2"/>
      <c r="J32" s="4"/>
      <c r="K32" s="2"/>
      <c r="L32" t="str" s="3">
        <f>HYPERLINK("https://www.getinge.com/de/news-und-events/klinische-einblicke/digitalisierung-im-gesundheitswesen/verbesserung-des-patientenflusses-durch-echtzeit-einblicke/","/news-und-events/klinische-einblicke/digitalisierung-im-gesundheitswesen/verbesserung-des-patientenflusses-durch-echtzeit-einblicke/")</f>
        <v>/news-und-events/klinische-einblicke/digitalisierung-im-gesundheitswesen/verbesserung-des-patientenflusses-durch-echtzeit-einblicke/</v>
      </c>
    </row>
    <row r="33">
      <c r="A33" s="0">
        <v>32</v>
      </c>
      <c r="B33" t="str" s="3">
        <f>HYPERLINK("https://www.getinge.com/int/insights/articles/digital-health/dynamic-surgical-scheduling/","/insights/articles/digital-health/dynamic-surgical-scheduling/")</f>
        <v>/insights/articles/digital-health/dynamic-surgical-scheduling/</v>
      </c>
      <c r="C33" t="inlineStr" s="2">
        <is>
          <t xml:space="preserve">5 interacting variables</t>
        </is>
      </c>
      <c r="D33" t="inlineStr" s="2">
        <is>
          <t xml:space="preserve">5 miteinander verknüpfte Faktoren</t>
        </is>
      </c>
      <c r="E33" t="inlineStr" s="0">
        <is>
          <t xml:space="preserve">Medium</t>
        </is>
      </c>
      <c r="F33" s="4"/>
      <c r="G33" s="2"/>
      <c r="H33" s="2"/>
      <c r="I33" s="2"/>
      <c r="J33" s="4"/>
      <c r="K33" s="2"/>
      <c r="L33" t="str" s="3">
        <f>HYPERLINK("https://www.getinge.com/de/news-und-events/klinische-einblicke/digitalisierung-im-gesundheitswesen/dynamische-op-planung/","/news-und-events/klinische-einblicke/digitalisierung-im-gesundheitswesen/dynamische-op-planung/")</f>
        <v>/news-und-events/klinische-einblicke/digitalisierung-im-gesundheitswesen/dynamische-op-planung/</v>
      </c>
    </row>
    <row r="34">
      <c r="A34" s="0">
        <v>33</v>
      </c>
      <c r="B34" t="str" s="3">
        <f>HYPERLINK("https://www.getinge.com/int/insights/articles/digital-health/dynamic-surgical-scheduling/","/insights/articles/digital-health/dynamic-surgical-scheduling/")</f>
        <v>/insights/articles/digital-health/dynamic-surgical-scheduling/</v>
      </c>
      <c r="C34" t="inlineStr" s="2">
        <is>
          <t xml:space="preserve">Case duration, staffing, equipment, bed availability and patient flow shape the surgical day together. When planning tools optimise them one at a time, the schedule can’t account for how they affect each other[1]</t>
        </is>
      </c>
      <c r="D34" t="inlineStr" s="2">
        <is>
          <t xml:space="preserve">Eingriffsdauer, Personal, Ausstattung, Bettenverfügbarkeit und Patientenfluss bestimmen gemeinsam den Verlauf des OP-Tages. Werden diese Faktoren von Planungssystemen einzeln optimiert, kann der OP-Plan ihre gegenseitigen Auswirkungen nicht berücksichtigen. [1]</t>
        </is>
      </c>
      <c r="E34" t="inlineStr" s="0">
        <is>
          <t xml:space="preserve">Medium</t>
        </is>
      </c>
      <c r="F34" s="4"/>
      <c r="G34" s="2"/>
      <c r="H34" s="2"/>
      <c r="I34" s="2"/>
      <c r="J34" s="4"/>
      <c r="K34" s="2"/>
      <c r="L34" t="str" s="3">
        <f>HYPERLINK("https://www.getinge.com/de/news-und-events/klinische-einblicke/digitalisierung-im-gesundheitswesen/dynamische-op-planung/","/news-und-events/klinische-einblicke/digitalisierung-im-gesundheitswesen/dynamische-op-planung/")</f>
        <v>/news-und-events/klinische-einblicke/digitalisierung-im-gesundheitswesen/dynamische-op-planung/</v>
      </c>
    </row>
    <row r="35">
      <c r="A35" s="0">
        <v>34</v>
      </c>
      <c r="B35" t="str" s="3">
        <f>HYPERLINK("https://www.getinge.com/int/insights/articles/digital-health/dynamic-surgical-scheduling/","/insights/articles/digital-health/dynamic-surgical-scheduling/")</f>
        <v>/insights/articles/digital-health/dynamic-surgical-scheduling/</v>
      </c>
      <c r="C35" t="inlineStr" s="2">
        <is>
          <t xml:space="preserve">The important point is that most hospitals already capture this data across their existing systems[1]. The shift is not in collecting new information. It is in connecting existing data to the scheduling decision at the moment the plan is being built, so the planning team can work with the best possible view of the day based on everything the hospital already knows.</t>
        </is>
      </c>
      <c r="D35" t="inlineStr" s="2">
        <is>
          <t xml:space="preserve">Entscheidend ist dabei, dass die meisten Krankenhäuser diese Daten bereits in ihren bestehenden Systemen erfassen [1]. Es geht also nicht darum, neue Informationen zu sammeln. Vielmehr müssen die vorhandenen Daten genau dann mit der OP-Planung verknüpft werden, wenn der Plan erstellt wird. So erhält das Planungsteam auf Grundlage sämtlicher bereits im Krankenhaus vorhandener Informationen einen möglichst umfassenden Überblick über den bevorstehenden OP-Tag.</t>
        </is>
      </c>
      <c r="E35" t="inlineStr" s="0">
        <is>
          <t xml:space="preserve">Medium</t>
        </is>
      </c>
      <c r="F35" s="4"/>
      <c r="G35" t="inlineStr" s="2">
        <is>
          <t xml:space="preserve">Die zweite umfasst historische Daten: beispielsweise Muster bei den Abweichungen zwischen tatsächlicher und geschätzter Eingriffsdauer, die Häufigkeit von Zeitüberschreitungen bei bestimmten Operationsarten, saisonale Schwankungen der Bettenverfügbarkeit und Ergebnisse vergleichbarer OP-Planungen [1].</t>
        </is>
      </c>
      <c r="H35" t="inlineStr" s="2">
        <is>
          <t xml:space="preserve">Die erste umfasst die Informationen, die bei der Anmeldung eines Eingriffs erfasst werden: Patientenmerkmale, Art des Eingriffs, Operateur, Begleiterkrankungen und benötigte Ressourcen. Diese Daten beeinflussen die prognostizierte Dauer und Komplexität des jeweiligen Eingriffs sowie den voraussichtlichen postoperativen Versorgungsbereich.</t>
        </is>
      </c>
      <c r="I35" s="2"/>
      <c r="J35" s="4"/>
      <c r="K35" s="2"/>
      <c r="L35" t="str" s="3">
        <f>HYPERLINK("https://www.getinge.com/de/news-und-events/klinische-einblicke/digitalisierung-im-gesundheitswesen/dynamische-op-planung/","/news-und-events/klinische-einblicke/digitalisierung-im-gesundheitswesen/dynamische-op-planung/")</f>
        <v>/news-und-events/klinische-einblicke/digitalisierung-im-gesundheitswesen/dynamische-op-planung/</v>
      </c>
    </row>
    <row r="36">
      <c r="A36" s="0">
        <v>35</v>
      </c>
      <c r="B36" t="str" s="3">
        <f>HYPERLINK("https://www.getinge.com/int/insights/articles/digital-health/higher-staff-satisfaction-with-or-integration/","/insights/articles/digital-health/higher-staff-satisfaction-with-or-integration/")</f>
        <v>/insights/articles/digital-health/higher-staff-satisfaction-with-or-integration/</v>
      </c>
      <c r="C36" t="inlineStr" s="2">
        <is>
          <t xml:space="preserve">The integration of Tegris at Acıbadem Maslak Hospital has transformed surgical workflows, leading to improved patient care, reduced costs, and higher staff satisfaction. By streamlining OR processes and automating data management, nurses now spend more time on patients instead of administrative tasks. This has not only enhanced efficiency but also eliminated routine overtime, improving work-life balance.</t>
        </is>
      </c>
      <c r="D36" t="inlineStr" s="2">
        <is>
          <t xml:space="preserve">Durch die Rationalisierung der OP-Prozesse und die Automatisierung des Datenmanagements kann das OP-Personal nun mehr Zeit mit den Patienten verbringen, anstatt administrative Aufgaben zu erledigen. Dies hat nicht nur die Effizienz gesteigert, sondern auch routinemäßige Überstunden vermieden und die Work-Life-Balance verbessert.</t>
        </is>
      </c>
      <c r="E36" t="inlineStr" s="0">
        <is>
          <t xml:space="preserve">Low</t>
        </is>
      </c>
      <c r="F36" s="4"/>
      <c r="G36" t="inlineStr" s="2">
        <is>
          <t xml:space="preserve">Die Integration von Tegris im Acıbadem Maslak Hospital hat die chirurgischen Arbeitsabläufe transformiert und zu einer verbesserten Patientenversorgung, geringeren Kosten und einer höheren Mitarbeiterzufriedenheit geführt.</t>
        </is>
      </c>
      <c r="H36" s="2"/>
      <c r="I36" s="2"/>
      <c r="J36" s="4"/>
      <c r="K36" s="2"/>
      <c r="L36" t="str" s="3">
        <f>HYPERLINK("https://www.getinge.com/de/news-und-events/klinische-einblicke/digitalisierung-im-gesundheitswesen/verbesserte-daten-und-patientensicherheit/","/news-und-events/klinische-einblicke/digitalisierung-im-gesundheitswesen/verbesserte-daten-und-patientensicherheit/")</f>
        <v>/news-und-events/klinische-einblicke/digitalisierung-im-gesundheitswesen/verbesserte-daten-und-patientensicherheit/</v>
      </c>
    </row>
    <row r="37">
      <c r="A37" s="0">
        <v>36</v>
      </c>
      <c r="B37" t="str" s="3">
        <f>HYPERLINK("https://www.getinge.com/int/insights/articles/digital-health/higher-staff-satisfaction-with-or-integration/","/insights/articles/digital-health/higher-staff-satisfaction-with-or-integration/")</f>
        <v>/insights/articles/digital-health/higher-staff-satisfaction-with-or-integration/</v>
      </c>
      <c r="C37" t="inlineStr" s="2">
        <is>
          <t xml:space="preserve">Improved patient care [1]</t>
        </is>
      </c>
      <c r="D37" t="inlineStr" s="2">
        <is>
          <t xml:space="preserve">Verbesserte Patientenversorgung [1]</t>
        </is>
      </c>
      <c r="E37" t="inlineStr" s="0">
        <is>
          <t xml:space="preserve">High</t>
        </is>
      </c>
      <c r="F37" s="4"/>
      <c r="G37" t="inlineStr" s="2">
        <is>
          <t xml:space="preserve">Verbesserte Arbeitsmoral [1]</t>
        </is>
      </c>
      <c r="H37" t="inlineStr" s="2">
        <is>
          <t xml:space="preserve">Kostensenkung [1]</t>
        </is>
      </c>
      <c r="I37" s="2"/>
      <c r="J37" s="4"/>
      <c r="K37" s="2"/>
      <c r="L37" t="str" s="3">
        <f>HYPERLINK("https://www.getinge.com/de/news-und-events/klinische-einblicke/digitalisierung-im-gesundheitswesen/verbesserte-daten-und-patientensicherheit/","/news-und-events/klinische-einblicke/digitalisierung-im-gesundheitswesen/verbesserte-daten-und-patientensicherheit/")</f>
        <v>/news-und-events/klinische-einblicke/digitalisierung-im-gesundheitswesen/verbesserte-daten-und-patientensicherheit/</v>
      </c>
    </row>
    <row r="38">
      <c r="A38" s="0">
        <v>37</v>
      </c>
      <c r="B38" t="str" s="3">
        <f>HYPERLINK("https://www.getinge.com/int/insights/articles/digital-health/higher-staff-satisfaction-with-or-integration/","/insights/articles/digital-health/higher-staff-satisfaction-with-or-integration/")</f>
        <v>/insights/articles/digital-health/higher-staff-satisfaction-with-or-integration/</v>
      </c>
      <c r="C38" t="inlineStr" s="2">
        <is>
          <t xml:space="preserve">Improved staff morale [1]</t>
        </is>
      </c>
      <c r="D38" t="inlineStr" s="2">
        <is>
          <t xml:space="preserve">Verbesserte Arbeitsmoral [1]</t>
        </is>
      </c>
      <c r="E38" t="inlineStr" s="0">
        <is>
          <t xml:space="preserve">Medium</t>
        </is>
      </c>
      <c r="F38" s="4"/>
      <c r="G38" t="inlineStr" s="2">
        <is>
          <t xml:space="preserve">Verbesserte Patientenversorgung [1]</t>
        </is>
      </c>
      <c r="H38" t="inlineStr" s="2">
        <is>
          <t xml:space="preserve">Kostensenkung [1]</t>
        </is>
      </c>
      <c r="I38" s="2"/>
      <c r="J38" s="4"/>
      <c r="K38" s="2"/>
      <c r="L38" t="str" s="3">
        <f>HYPERLINK("https://www.getinge.com/de/news-und-events/klinische-einblicke/digitalisierung-im-gesundheitswesen/verbesserte-daten-und-patientensicherheit/","/news-und-events/klinische-einblicke/digitalisierung-im-gesundheitswesen/verbesserte-daten-und-patientensicherheit/")</f>
        <v>/news-und-events/klinische-einblicke/digitalisierung-im-gesundheitswesen/verbesserte-daten-und-patientensicherheit/</v>
      </c>
    </row>
    <row r="39">
      <c r="A39" s="0">
        <v>38</v>
      </c>
      <c r="B39" t="str" s="3">
        <f>HYPERLINK("https://www.getinge.com/int/insights/articles/digital-health/higher-staff-satisfaction-with-or-integration/","/insights/articles/digital-health/higher-staff-satisfaction-with-or-integration/")</f>
        <v>/insights/articles/digital-health/higher-staff-satisfaction-with-or-integration/</v>
      </c>
      <c r="C39" t="inlineStr" s="2">
        <is>
          <t xml:space="preserve">One platform, for each operating room Seamlessly managing video, data, and devices, Tegris redefines how surgical teams collaborate across all environments while supporting patient safety.</t>
        </is>
      </c>
      <c r="D39" t="inlineStr" s="2">
        <is>
          <t xml:space="preserve">Durch die nahtlose Verwaltung von Videos, Daten und Geräten definiert Tegris die Zusammenarbeit von Operationsteams in allen Bereichen neu und verbessert gleichzeitig die Patientensicherheit.</t>
        </is>
      </c>
      <c r="E39" t="inlineStr" s="0">
        <is>
          <t xml:space="preserve">Medium</t>
        </is>
      </c>
      <c r="F39" s="4"/>
      <c r="G39" t="inlineStr" s="2">
        <is>
          <t xml:space="preserve">Eine Plattform für alle Operationssäle</t>
        </is>
      </c>
      <c r="H39" t="inlineStr" s="2">
        <is>
          <t xml:space="preserve">Es bietet eine modulare Plattform für ambulante Operationszentren bis hin zu Hybrid-OPs.</t>
        </is>
      </c>
      <c r="I39" s="2"/>
      <c r="J39" s="4"/>
      <c r="K39" s="2"/>
      <c r="L39" t="str" s="3">
        <f>HYPERLINK("https://www.getinge.com/de/news-und-events/klinische-einblicke/digitalisierung-im-gesundheitswesen/verbesserte-daten-und-patientensicherheit/","/news-und-events/klinische-einblicke/digitalisierung-im-gesundheitswesen/verbesserte-daten-und-patientensicherheit/")</f>
        <v>/news-und-events/klinische-einblicke/digitalisierung-im-gesundheitswesen/verbesserte-daten-und-patientensicherheit/</v>
      </c>
    </row>
    <row r="40">
      <c r="A40" s="0">
        <v>39</v>
      </c>
      <c r="B40" t="str" s="3">
        <f>HYPERLINK("https://www.getinge.com/int/insights/articles/digital-health/higher-staff-satisfaction-with-or-integration/","/insights/articles/digital-health/higher-staff-satisfaction-with-or-integration/")</f>
        <v>/insights/articles/digital-health/higher-staff-satisfaction-with-or-integration/</v>
      </c>
      <c r="C40" t="inlineStr" s="2">
        <is>
          <t xml:space="preserve">It provides one modular platform for all needs – from Ambulatory Surgery Centers to advanced Hybrid ORs.</t>
        </is>
      </c>
      <c r="D40" t="inlineStr" s="2">
        <is>
          <t xml:space="preserve">Es bietet eine modulare Plattform für ambulante Operationszentren bis hin zu Hybrid-OPs.</t>
        </is>
      </c>
      <c r="E40" t="inlineStr" s="0">
        <is>
          <t xml:space="preserve">Medium</t>
        </is>
      </c>
      <c r="F40" s="4"/>
      <c r="G40" t="inlineStr" s="2">
        <is>
          <t xml:space="preserve">Durch die nahtlose Verwaltung von Videos, Daten und Geräten definiert Tegris die Zusammenarbeit von Operationsteams in allen Bereichen neu und verbessert gleichzeitig die Patientensicherheit.</t>
        </is>
      </c>
      <c r="H40" t="inlineStr" s="2">
        <is>
          <t xml:space="preserve">Eine Plattform für alle Operationssäle</t>
        </is>
      </c>
      <c r="I40" s="2"/>
      <c r="J40" s="4"/>
      <c r="K40" s="2"/>
      <c r="L40" t="str" s="3">
        <f>HYPERLINK("https://www.getinge.com/de/news-und-events/klinische-einblicke/digitalisierung-im-gesundheitswesen/verbesserte-daten-und-patientensicherheit/","/news-und-events/klinische-einblicke/digitalisierung-im-gesundheitswesen/verbesserte-daten-und-patientensicherheit/")</f>
        <v>/news-und-events/klinische-einblicke/digitalisierung-im-gesundheitswesen/verbesserte-daten-und-patientensicherheit/</v>
      </c>
    </row>
    <row r="41">
      <c r="A41" s="0">
        <v>40</v>
      </c>
      <c r="B41" t="str" s="3">
        <f>HYPERLINK("https://www.getinge.com/int/insights/articles/digital-health/icu-capacity/","/insights/articles/digital-health/icu-capacity/")</f>
        <v>/insights/articles/digital-health/icu-capacity/</v>
      </c>
      <c r="C41" t="inlineStr" s="2">
        <is>
          <t xml:space="preserve">A 2025 study from the University of California San Francisco (UCSF), conducted at the Bakar Computational Health Sciences Institute and published in BMC Anesthesiology, tested whether machine learning could predict unplanned ICU admission using only information available before surgery[1]. The researchers built and validated a model drawing on preoperative patient characteristics, procedure data, and comorbidity profiles from 4,658 surgical patients[1]. No intraoperative inputs were used; the prediction requires nothing from the procedure itself[1].</t>
        </is>
      </c>
      <c r="D41" t="inlineStr" s="2">
        <is>
          <t xml:space="preserve">Eine 2025 veröffentlichte Studie der University of California San Francisco (UCSF), die am Bakar Computational Health Sciences Institute durchgeführt und in BMC Anesthesiology veröffentlicht wurde, untersuchte, ob sich ungeplante Intensivaufnahmen allein anhand von Informationen vorhersagen lassen, die bereits vor einer Operation vorliegen [1]. Die Forschenden entwickelten und validierten ein Modell des maschinellen Lernens, das präoperative Patientenmerkmale, Angaben zum Eingriff und bestehende Begleiterkrankungen von 4.658 operierten Patienten berücksichtigte [1]. Informationen aus dem Operationsverlauf wurden nicht verwendet. Für die Prognose werden somit keine Daten aus dem eigentlichen Eingriff benötigt [1].</t>
        </is>
      </c>
      <c r="E41" t="inlineStr" s="0">
        <is>
          <t xml:space="preserve">High</t>
        </is>
      </c>
      <c r="F41" s="4"/>
      <c r="G41" t="inlineStr" s="2">
        <is>
          <t xml:space="preserve">Beim Vergleich eines Patienten, der später ungeplant intensivmedizinisch versorgt werden musste, mit einem Patienten, bei dem dies nicht der Fall war, stufte das Modell in acht von zehn Fällen den richtigen Patienten als risikoreicher ein [1]. Dies zeigt, dass das Modell zwischen Patienten mit unterschiedlichem Risiko unterscheiden kann. Vereinfacht gesagt kann es anhand der bereits bei der OP-Planung verfügbaren Informationen diejenigen Patienten identifizieren, bei denen eine ungeplante intensivmedizinische Versorgung am wahrscheinlichsten ist.</t>
        </is>
      </c>
      <c r="H41" t="inlineStr" s="2">
        <is>
          <t xml:space="preserve">Der Zeitpunkt ist entscheidend. Bei der OP-Anmeldung ist die Planung noch offen. Nachgelagerte Versorgungskapazitäten können gemeinsam mit der Verfügbarkeit von OP-Sälen, dem Personaleinsatz und der Eingriffsdauer berücksichtigt werden – also mit denselben Faktoren, die bereits heute in die Planung einfließen. Mögliche Konflikte zwischen dem geplanten Operationsaufkommen und der Bettenverfügbarkeit werden sichtbar, solange sich der OP-Tag noch ohne kurzfristige Eskalation umplanen lässt [1].</t>
        </is>
      </c>
      <c r="I41" s="2"/>
      <c r="J41" s="4"/>
      <c r="K41" s="2"/>
      <c r="L41" t="str" s="3">
        <f>HYPERLINK("https://www.getinge.com/de/news-und-events/klinische-einblicke/digitalisierung-im-gesundheitswesen/intensivkapazitaeten/","/news-und-events/klinische-einblicke/digitalisierung-im-gesundheitswesen/intensivkapazitaeten/")</f>
        <v>/news-und-events/klinische-einblicke/digitalisierung-im-gesundheitswesen/intensivkapazitaeten/</v>
      </c>
    </row>
    <row r="42">
      <c r="A42" s="0">
        <v>41</v>
      </c>
      <c r="B42" t="str" s="3">
        <f>HYPERLINK("https://www.getinge.com/int/insights/articles/digital-health/icu-capacity/","/insights/articles/digital-health/icu-capacity/")</f>
        <v>/insights/articles/digital-health/icu-capacity/</v>
      </c>
      <c r="C42" t="inlineStr" s="2">
        <is>
          <t xml:space="preserve">Accounting for downstream capacity alongside theatre resources could support more informed surgical planning, rather than treating bed availability as something to resolve after the list is set. The prediction model supplies the signal. The scheduling logic makes the conflict visible. The case manager makes the call[1]. The principle throughout is that the system brings a previously missing variable into the planning flow, and leaves the decision with the people responsible for the schedule.</t>
        </is>
      </c>
      <c r="D42" t="inlineStr" s="2">
        <is>
          <t xml:space="preserve">Für das Planungsteam verändert sich dadurch die Vorbereitung des OP-Tages. Statt sich auf fachgebietsspezifische Durchschnittswerte zu verlassen und darauf zu hoffen, dass die nachgelagerten Kapazitäten ausreichen, sieht das Fallmanagement die individuelle Wahrscheinlichkeit einer Intensivaufnahme zusammen mit der prognostizierten Belegung der Intensivstation für den jeweiligen Tag [1]. Eskalationen werden damit wieder zu tatsächlichen Ausnahmefällen, statt zum täglichen Normalfall zu gehören.</t>
        </is>
      </c>
      <c r="E42" t="inlineStr" s="0">
        <is>
          <t xml:space="preserve">Medium</t>
        </is>
      </c>
      <c r="F42" s="4"/>
      <c r="G42" t="inlineStr" s="2">
        <is>
          <t xml:space="preserve">Das Prognosemodell liefert die Risikoeinschätzung. Die Planungslogik macht mögliche Konflikte sichtbar. Das Fallmanagement trifft die Entscheidung [1]. Das Grundprinzip ist dabei stets dasselbe: Das System ergänzt die Planung um einen bislang fehlenden Faktor, während die Entscheidung bei den Menschen bleibt, die für den OP-Plan verantwortlich sind.</t>
        </is>
      </c>
      <c r="H42" t="inlineStr" s="2">
        <is>
          <t xml:space="preserve">Eine Prognose ist nur so nützlich wie die Entscheidung, in die sie einfließt. Damit der postoperative Versorgungsbedarf tatsächlich zu einer Planungsgröße wird, müssen die Kapazitäten auf Intensiv-, Intermediate-Care- und Normalstationen gemeinsam mit den verfügbaren OP-Zeiten berücksichtigt werden. Sie dürfen nicht als separates Thema behandelt werden, das erst nach der OP-Planung geklärt wird, sondern müssen bereits bei der Zusammenstellung des OP-Programms einfließen [2].</t>
        </is>
      </c>
      <c r="I42" t="inlineStr" s="2">
        <is>
          <t xml:space="preserve">Auch für den Patientenfluss ergeben sich Veränderungen: Wenn der voraussichtliche intensivmedizinische Versorgungsbedarf bereits bei der OP-Anmeldung berücksichtigt wird, dient der Aufwachraum nicht länger als inoffizieller Wartebereich für Patienten, für die noch kein Intensivbett verfügbar ist [1]. Durch die frühzeitigere Berücksichtigung des intensivmedizinischen Versorgungsbedarfs könnten Krankenhäuser zudem besser in der Lage sein, kurzfristige Störungen zu vermeiden. Dazu gehören auch einige der Absagen am Operationstag, die auf fehlende Intensivbetten zurückzuführen sind und in der Studie 21,7 % aller Absagen ausmachten [2].</t>
        </is>
      </c>
      <c r="J42" s="4"/>
      <c r="K42" s="2"/>
      <c r="L42" t="str" s="3">
        <f>HYPERLINK("https://www.getinge.com/de/news-und-events/klinische-einblicke/digitalisierung-im-gesundheitswesen/intensivkapazitaeten/","/news-und-events/klinische-einblicke/digitalisierung-im-gesundheitswesen/intensivkapazitaeten/")</f>
        <v>/news-und-events/klinische-einblicke/digitalisierung-im-gesundheitswesen/intensivkapazitaeten/</v>
      </c>
    </row>
    <row r="43">
      <c r="A43" s="0">
        <v>42</v>
      </c>
      <c r="B43" t="str" s="3">
        <f>HYPERLINK("https://www.getinge.com/int/insights/articles/intensive-care/esophageal-and-transpulmonary-pressure-monitoring/","/insights/articles/intensive-care/esophageal-and-transpulmonary-pressure-monitoring/")</f>
        <v>/insights/articles/intensive-care/esophageal-and-transpulmonary-pressure-monitoring/</v>
      </c>
      <c r="C43" t="inlineStr" s="2">
        <is>
          <t xml:space="preserve">Physician and researcher Dr. Heder de Vries, MD, PhD candidate shares his insights into the implementation of Esophageal and Transpulmonary pressure monitoring, and how recent improvements in Pes &amp; PL monitoring are contributing to better support its daily clinical use.</t>
        </is>
      </c>
      <c r="D43" t="inlineStr" s="2">
        <is>
          <t xml:space="preserve">Der Arzt und Forscher Dr. Heder de Vries, MD, Doktorand, berichtet von seinen Erfahrungen bei der Implementierung der Ösophagus- und transpulmonalen Druckmessung und darüber, wie die jüngsten Verbesserungen bei der Pes- und PL-Messung den Einsatz im Klinikalltag erleichtern.</t>
        </is>
      </c>
      <c r="E43" t="inlineStr" s="0">
        <is>
          <t xml:space="preserve">Medium</t>
        </is>
      </c>
      <c r="F43" s="4"/>
      <c r="G43" s="2"/>
      <c r="H43" s="2"/>
      <c r="I43" s="2"/>
      <c r="J43" s="4"/>
      <c r="K43" t="inlineStr" s="2">
        <is>
          <t xml:space="preserve">protected-token-mismatch: missing in target: PhD</t>
        </is>
      </c>
      <c r="L43" t="str" s="3">
        <f>HYPERLINK("https://www.getinge.com/de/news-und-events/klinische-einblicke/intensivmedizin/oesophagus-und-transpulmonale-druckmessung/","/news-und-events/klinische-einblicke/intensivmedizin/oesophagus-und-transpulmonale-druckmessung/")</f>
        <v>/news-und-events/klinische-einblicke/intensivmedizin/oesophagus-und-transpulmonale-druckmessung/</v>
      </c>
    </row>
    <row r="44">
      <c r="A44" s="0">
        <v>43</v>
      </c>
      <c r="B44" t="str" s="3">
        <f>HYPERLINK("https://www.getinge.com/int/insights/articles/intensive-care/esophageal-and-transpulmonary-pressure-monitoring/","/insights/articles/intensive-care/esophageal-and-transpulmonary-pressure-monitoring/")</f>
        <v>/insights/articles/intensive-care/esophageal-and-transpulmonary-pressure-monitoring/</v>
      </c>
      <c r="C44" t="inlineStr" s="2">
        <is>
          <t xml:space="preserve">Watch the full video interview below</t>
        </is>
      </c>
      <c r="D44" t="inlineStr" s="2">
        <is>
          <t xml:space="preserve">Sehen Sie sich das vollständige Interview unten im Video an</t>
        </is>
      </c>
      <c r="E44" t="inlineStr" s="0">
        <is>
          <t xml:space="preserve">Medium</t>
        </is>
      </c>
      <c r="F44" s="4"/>
      <c r="G44" t="inlineStr" s="2">
        <is>
          <t xml:space="preserve">Dr. de Vries geht unter anderem auf folgende Themen ein:</t>
        </is>
      </c>
      <c r="H44" t="inlineStr" s="2">
        <is>
          <t xml:space="preserve">Die Benutzerfreundlichkeit von Ösophagus-Ballonkathetern mit Magensonde</t>
        </is>
      </c>
      <c r="I44" t="inlineStr" s="2">
        <is>
          <t xml:space="preserve">Wie lange ein Pes-Katheter nach der ITS-Einweisung verwendet wird.</t>
        </is>
      </c>
      <c r="J44" s="4"/>
      <c r="K44" s="2"/>
      <c r="L44" t="str" s="3">
        <f>HYPERLINK("https://www.getinge.com/de/news-und-events/klinische-einblicke/intensivmedizin/oesophagus-und-transpulmonale-druckmessung/","/news-und-events/klinische-einblicke/intensivmedizin/oesophagus-und-transpulmonale-druckmessung/")</f>
        <v>/news-und-events/klinische-einblicke/intensivmedizin/oesophagus-und-transpulmonale-druckmessung/</v>
      </c>
    </row>
    <row r="45">
      <c r="A45" s="0">
        <v>44</v>
      </c>
      <c r="B45" t="str" s="3">
        <f>HYPERLINK("https://www.getinge.com/int/insights/articles/operating-room/connected-medical-devices-improve-uptime-in-the-or/","/insights/articles/operating-room/connected-medical-devices-improve-uptime-in-the-or/")</f>
        <v>/insights/articles/operating-room/connected-medical-devices-improve-uptime-in-the-or/</v>
      </c>
      <c r="C45" t="inlineStr" s="2">
        <is>
          <t xml:space="preserve">FleetView is a digital service that securely transfers Getinge equipment data to a customer web portal. Users log in to FleetView where a role-based dashboard lets you view and analyze the device data. Dashboards are available for different roles. For Biomeds and Critical care Scientists the dashboard provides equipment information that supports proactive maintenance and quick troubleshooting. For clinicians, the dashboard provides information about clinical use, including the identification of trends and consumption of anesthetic agent.</t>
        </is>
      </c>
      <c r="D45" t="inlineStr" s="2">
        <is>
          <t xml:space="preserve">Getinge Online ist ein digitaler Dienst, der eine sichere Datenübertragung von den Getinge-Geräten auf ein Kunden-Webportal bietet. Die Benutzerinnen und Benutzer melden sich bei Getinge Online an, wo auf einem rollenbasierten Dashboard die Gerätedaten angezeigt und Analysen bereitgestellt werden. Die Dashboards sind für verschiedene Rollen verfügbar. Für Biomediziner/innen und Forscher/innen im Bereich Intensivpflege hält das Dashboard Geräteinformationen bereit, die eine proaktive Wartung und eine rasche Fehlerbehebung erleichtern. Ärztinnen und Ärzten bietet das Dashboard Informationen über den klinischen Einsatz, unter anderem zur Identifizierung von Trends und zum Verbrauch von Narkosegas.</t>
        </is>
      </c>
      <c r="E45" t="inlineStr" s="0">
        <is>
          <t xml:space="preserve">Medium</t>
        </is>
      </c>
      <c r="F45" s="4"/>
      <c r="G45" s="2"/>
      <c r="H45" s="2"/>
      <c r="I45" s="2"/>
      <c r="J45" s="4"/>
      <c r="K45" t="inlineStr" s="2">
        <is>
          <t xml:space="preserve">protected-token-mismatch: missing in target: FleetView</t>
        </is>
      </c>
      <c r="L45" t="str" s="3">
        <f>HYPERLINK("https://www.getinge.com/de/news-und-events/klinische-einblicke/operationssaal/digital-vernetzte-medizinische-geraete-verbessern-die-auslastung-des-operationssaals/","/news-und-events/klinische-einblicke/operationssaal/digital-vernetzte-medizinische-geraete-verbessern-die-auslastung-des-operationssaals/")</f>
        <v>/news-und-events/klinische-einblicke/operationssaal/digital-vernetzte-medizinische-geraete-verbessern-die-auslastung-des-operationssaals/</v>
      </c>
    </row>
    <row r="46">
      <c r="A46" s="0">
        <v>45</v>
      </c>
      <c r="B46" t="str" s="3">
        <f>HYPERLINK("https://www.getinge.com/int/insights/articles/operating-room/low-flow-anesthesia/","/insights/articles/operating-room/low-flow-anesthesia/")</f>
        <v>/insights/articles/operating-room/low-flow-anesthesia/</v>
      </c>
      <c r="C46" t="inlineStr" s="2">
        <is>
          <t xml:space="preserve">Simply low-flow anesthesia</t>
        </is>
      </c>
      <c r="D46" t="inlineStr" s="2">
        <is>
          <t xml:space="preserve">Einfach Low-Flow-Anästhesie</t>
        </is>
      </c>
      <c r="E46" t="inlineStr" s="0">
        <is>
          <t xml:space="preserve">Medium</t>
        </is>
      </c>
      <c r="F46" s="4"/>
      <c r="G46" t="inlineStr" s="2">
        <is>
          <t xml:space="preserve">Sicher. Nachhaltig. Intelligent.</t>
        </is>
      </c>
      <c r="H46" s="2"/>
      <c r="I46" s="2"/>
      <c r="J46" s="4"/>
      <c r="K46" s="2"/>
      <c r="L46" t="str" s="3">
        <f>HYPERLINK("https://www.getinge.com/de/news-und-events/klinische-einblicke/operationssaal/low-flow-anaesthesie/","/news-und-events/klinische-einblicke/operationssaal/low-flow-anaesthesie/")</f>
        <v>/news-und-events/klinische-einblicke/operationssaal/low-flow-anaesthesie/</v>
      </c>
    </row>
    <row r="47">
      <c r="A47" s="0">
        <v>46</v>
      </c>
      <c r="B47" t="str" s="3">
        <f>HYPERLINK("https://www.getinge.com/int/insights/articles/operating-room/low-flow-anesthesia/","/insights/articles/operating-room/low-flow-anesthesia/")</f>
        <v>/insights/articles/operating-room/low-flow-anesthesia/</v>
      </c>
      <c r="C47" t="inlineStr" s="2">
        <is>
          <t xml:space="preserve">Safe. Sustainable. Smart.</t>
        </is>
      </c>
      <c r="D47" s="2"/>
      <c r="F47" s="4"/>
      <c r="G47" t="inlineStr" s="2">
        <is>
          <t xml:space="preserve">Sicher. Nachhaltig. Intelligent.</t>
        </is>
      </c>
      <c r="H47" t="inlineStr" s="2">
        <is>
          <t xml:space="preserve">Einfach Low-Flow-Anästhesie</t>
        </is>
      </c>
      <c r="I47" s="2"/>
      <c r="J47" s="4"/>
      <c r="K47" s="2"/>
      <c r="L47" t="str" s="3">
        <f>HYPERLINK("https://www.getinge.com/de/news-und-events/klinische-einblicke/operationssaal/low-flow-anaesthesie/","/news-und-events/klinische-einblicke/operationssaal/low-flow-anaesthesie/")</f>
        <v>/news-und-events/klinische-einblicke/operationssaal/low-flow-anaesthesie/</v>
      </c>
    </row>
    <row r="48">
      <c r="A48" s="0">
        <v>47</v>
      </c>
      <c r="B48" t="str" s="3">
        <f>HYPERLINK("https://www.getinge.com/int/insights/articles/operating-room/low-flow-anesthesia/","/insights/articles/operating-room/low-flow-anesthesia/")</f>
        <v>/insights/articles/operating-room/low-flow-anesthesia/</v>
      </c>
      <c r="C48" t="inlineStr" s="2">
        <is>
          <t xml:space="preserve">This new clinical booklet provides a step-by-step guide to performing low- and minimal-flow anesthesia with the Flow Family. It combines scientific background with practical instructions to support safe and confident use in daily practice.</t>
        </is>
      </c>
      <c r="D48" t="inlineStr" s="2">
        <is>
          <t xml:space="preserve">Diese neue klinische Broschüre bietet eine Schritt-für-Schritt-Anleitung zur Durchführung einer Low-Flow- und Minimal-Flow-Anästhesie mit der Flow-Produktfamilie. Sie verbindet wissenschaftliche Hintergrundinformationen mit praxisnahen Anleitungen und unterstützt so eine sichere und zuverlässige Anwendung im klinischen Alltag.</t>
        </is>
      </c>
      <c r="E48" t="inlineStr" s="0">
        <is>
          <t xml:space="preserve">Low</t>
        </is>
      </c>
      <c r="F48" s="4"/>
      <c r="G48" t="inlineStr" s="2">
        <is>
          <t xml:space="preserve">Das erwartet Sie: - Klare Erläuterungen zur Low-Flow-Technik. - Praktische Anleitungen für die Anwendung mit Geräten der Flow Family. - Einblicke in Sicherheit, Nachhaltigkeit und wirtschaftliche Vorteile.</t>
        </is>
      </c>
      <c r="H48" s="2"/>
      <c r="I48" s="2"/>
      <c r="J48" s="4"/>
      <c r="K48" s="2"/>
      <c r="L48" t="str" s="3">
        <f>HYPERLINK("https://www.getinge.com/de/news-und-events/klinische-einblicke/operationssaal/low-flow-anaesthesie/","/news-und-events/klinische-einblicke/operationssaal/low-flow-anaesthesie/")</f>
        <v>/news-und-events/klinische-einblicke/operationssaal/low-flow-anaesthesie/</v>
      </c>
    </row>
    <row r="49">
      <c r="A49" s="0">
        <v>48</v>
      </c>
      <c r="B49" t="str" s="3">
        <f>HYPERLINK("https://www.getinge.com/int/insights/articles/operating-room/low-flow-anesthesia/","/insights/articles/operating-room/low-flow-anesthesia/")</f>
        <v>/insights/articles/operating-room/low-flow-anesthesia/</v>
      </c>
      <c r="C49" t="inlineStr" s="2">
        <is>
          <t xml:space="preserve">Inside, you’ll find: - Clear explanations of the low-flow technique. - Practical guidance for applying it with Flow Family machines. - Insights on safety, sustainability, and economic benefits.</t>
        </is>
      </c>
      <c r="D49" t="inlineStr" s="2">
        <is>
          <t xml:space="preserve">Das erwartet Sie: - Klare Erläuterungen zur Low-Flow-Technik. - Praktische Anleitungen für die Anwendung mit Geräten der Flow Family. - Einblicke in Sicherheit, Nachhaltigkeit und wirtschaftliche Vorteile.</t>
        </is>
      </c>
      <c r="E49" t="inlineStr" s="0">
        <is>
          <t xml:space="preserve">Medium</t>
        </is>
      </c>
      <c r="F49" s="4"/>
      <c r="G49" t="inlineStr" s="2">
        <is>
          <t xml:space="preserve">Diese neue klinische Broschüre bietet eine Schritt-für-Schritt-Anleitung zur Durchführung einer Low-Flow- und Minimal-Flow-Anästhesie mit der Flow-Produktfamilie. Sie verbindet wissenschaftliche Hintergrundinformationen mit praxisnahen Anleitungen und unterstützt so eine sichere und zuverlässige Anwendung im klinischen Alltag.</t>
        </is>
      </c>
      <c r="H49" s="2"/>
      <c r="I49" s="2"/>
      <c r="J49" s="4"/>
      <c r="K49" s="2"/>
      <c r="L49" t="str" s="3">
        <f>HYPERLINK("https://www.getinge.com/de/news-und-events/klinische-einblicke/operationssaal/low-flow-anaesthesie/","/news-und-events/klinische-einblicke/operationssaal/low-flow-anaesthesie/")</f>
        <v>/news-und-events/klinische-einblicke/operationssaal/low-flow-anaesthesie/</v>
      </c>
    </row>
    <row r="50">
      <c r="A50" s="0">
        <v>49</v>
      </c>
      <c r="B50" t="str" s="3">
        <f>HYPERLINK("https://www.getinge.com/int/insights/articles/operating-room/low-flow-anesthesia/","/insights/articles/operating-room/low-flow-anesthesia/")</f>
        <v>/insights/articles/operating-room/low-flow-anesthesia/</v>
      </c>
      <c r="C50" t="inlineStr" s="2">
        <is>
          <t xml:space="preserve">Because sustainable, smart anesthesia isn’t just the future: it is something we can start today, one breath at a time.</t>
        </is>
      </c>
      <c r="D50" s="2"/>
      <c r="F50" s="4"/>
      <c r="G50" t="inlineStr" s="2">
        <is>
          <t xml:space="preserve">Denn nachhaltige, intelligente Anästhesie ist nicht nur die Zukunft – sie beginnt schon heute, Atemzug für Atemzug.</t>
        </is>
      </c>
      <c r="H50" t="inlineStr" s="2">
        <is>
          <t xml:space="preserve">Das erwartet Sie: - Klare Erläuterungen zur Low-Flow-Technik. - Praktische Anleitungen für die Anwendung mit Geräten der Flow Family. - Einblicke in Sicherheit, Nachhaltigkeit und wirtschaftliche Vorteile.</t>
        </is>
      </c>
      <c r="I50" s="2"/>
      <c r="J50" s="4"/>
      <c r="K50" s="2"/>
      <c r="L50" t="str" s="3">
        <f>HYPERLINK("https://www.getinge.com/de/news-und-events/klinische-einblicke/operationssaal/low-flow-anaesthesie/","/news-und-events/klinische-einblicke/operationssaal/low-flow-anaesthesie/")</f>
        <v>/news-und-events/klinische-einblicke/operationssaal/low-flow-anaesthesie/</v>
      </c>
    </row>
    <row r="51">
      <c r="A51" s="0">
        <v>50</v>
      </c>
      <c r="B51" t="str" s="3">
        <f>HYPERLINK("https://www.getinge.com/int/insights/articles/pharmaceutical-production/reducing-device-downtime-in-the-pharmaceutical-industry/","/insights/articles/pharmaceutical-production/reducing-device-downtime-in-the-pharmaceutical-industry/")</f>
        <v>/insights/articles/pharmaceutical-production/reducing-device-downtime-in-the-pharmaceutical-industry/</v>
      </c>
      <c r="C51" t="inlineStr" s="2">
        <is>
          <t xml:space="preserve">One of the key advantages of IO-Link is its ability to streamline device setup and maintenance. During commissioning, configuration data is transferred digitally, eliminating the need for manual sensor calibration. If a component replacement becomes necessary, device parameters are automatically transferred to the new unit – helping to reduce downtime and service effort.</t>
        </is>
      </c>
      <c r="D51" t="inlineStr" s="2">
        <is>
          <t xml:space="preserve">Einer der Hauptvorteile von IO-Link ist die Möglichkeit, die Geräteeinrichtung und -wartung zu vereinfachen. Während der Inbetriebnahme werden Konfigurationsdaten digital übertragen, wodurch eine manuelle Sensorkalibrierung entfällt. Wird ein Komponententausch erforderlich, werden die Geräteeinstellungen automatisch auf das neue Gerät übertragen – was zur Reduzierung von Ausfallzeiten und Wartungsaufwand beiträgt.</t>
        </is>
      </c>
      <c r="E51" t="inlineStr" s="0">
        <is>
          <t xml:space="preserve">Medium</t>
        </is>
      </c>
      <c r="F51" s="4"/>
      <c r="G51" t="inlineStr" s="2">
        <is>
          <t xml:space="preserve">Dank seiner feldbusneutralen Architektur kann IO-Link in bestehende oder neue IIoT-Automatisierungssysteme integriert werden. Diese Flexibilität unterstützt langfristige Standardisierungsbemühungen in Produktionsstätten und trägt zu einer verbesserten Interoperabilität zwischen Systemen und Geräten bei.</t>
        </is>
      </c>
      <c r="H51" s="2"/>
      <c r="I51" s="2"/>
      <c r="J51" s="4"/>
      <c r="K51" s="2"/>
      <c r="L51" t="str" s="3">
        <f>HYPERLINK("https://www.getinge.com/de/news-und-events/klinische-einblicke/pharmazeutische-produktion/reduzierung-von-geraeteausfallzeiten-in-der-pharmazeutischen-industrie/","/news-und-events/klinische-einblicke/pharmazeutische-produktion/reduzierung-von-geraeteausfallzeiten-in-der-pharmazeutischen-industrie/")</f>
        <v>/news-und-events/klinische-einblicke/pharmazeutische-produktion/reduzierung-von-geraeteausfallzeiten-in-der-pharmazeutischen-industrie/</v>
      </c>
    </row>
    <row r="52">
      <c r="A52" s="0">
        <v>51</v>
      </c>
      <c r="B52" t="str" s="3">
        <f>HYPERLINK("https://www.getinge.com/int/insights/articles/pharmaceutical-production/reducing-device-downtime-in-the-pharmaceutical-industry/","/insights/articles/pharmaceutical-production/reducing-device-downtime-in-the-pharmaceutical-industry/")</f>
        <v>/insights/articles/pharmaceutical-production/reducing-device-downtime-in-the-pharmaceutical-industry/</v>
      </c>
      <c r="C52" t="inlineStr" s="2">
        <is>
          <t xml:space="preserve">In practice, this means:</t>
        </is>
      </c>
      <c r="D52" s="2"/>
      <c r="F52" s="4"/>
      <c r="G52" t="inlineStr" s="2">
        <is>
          <t xml:space="preserve">In der Praxis bedeutet das:</t>
        </is>
      </c>
      <c r="H52" t="inlineStr" s="2">
        <is>
          <t xml:space="preserve">Für die Integration entwickelt</t>
        </is>
      </c>
      <c r="I52" t="inlineStr" s="2">
        <is>
          <t xml:space="preserve">Vereinfachter Sensortausch ohne Neukonfiguration</t>
        </is>
      </c>
      <c r="J52" s="4"/>
      <c r="K52" s="2"/>
      <c r="L52" t="str" s="3">
        <f>HYPERLINK("https://www.getinge.com/de/news-und-events/klinische-einblicke/pharmazeutische-produktion/reduzierung-von-geraeteausfallzeiten-in-der-pharmazeutischen-industrie/","/news-und-events/klinische-einblicke/pharmazeutische-produktion/reduzierung-von-geraeteausfallzeiten-in-der-pharmazeutischen-industrie/")</f>
        <v>/news-und-events/klinische-einblicke/pharmazeutische-produktion/reduzierung-von-geraeteausfallzeiten-in-der-pharmazeutischen-industrie/</v>
      </c>
    </row>
    <row r="53">
      <c r="A53" s="0">
        <v>52</v>
      </c>
      <c r="B53" t="str" s="3">
        <f>HYPERLINK("https://www.getinge.com/int/insights/articles/pharmaceutical-production/reducing-device-downtime-in-the-pharmaceutical-industry/","/insights/articles/pharmaceutical-production/reducing-device-downtime-in-the-pharmaceutical-industry/")</f>
        <v>/insights/articles/pharmaceutical-production/reducing-device-downtime-in-the-pharmaceutical-industry/</v>
      </c>
      <c r="C53" t="inlineStr" s="2">
        <is>
          <t xml:space="preserve">Reduced installation and commissioning times</t>
        </is>
      </c>
      <c r="D53" t="inlineStr" s="2">
        <is>
          <t xml:space="preserve">Verkürzte Installations- und Inbetriebnahmezeiten</t>
        </is>
      </c>
      <c r="E53" t="inlineStr" s="0">
        <is>
          <t xml:space="preserve">Medium</t>
        </is>
      </c>
      <c r="F53" s="4"/>
      <c r="G53" t="inlineStr" s="2">
        <is>
          <t xml:space="preserve">Vereinfachter Sensortausch ohne Neukonfiguration</t>
        </is>
      </c>
      <c r="H53" t="inlineStr" s="2">
        <is>
          <t xml:space="preserve">Entfall der Notwendigkeit von Kalibrierung und Re-Kalibrierung</t>
        </is>
      </c>
      <c r="I53" t="inlineStr" s="2">
        <is>
          <t xml:space="preserve">Für die Integration entwickelt</t>
        </is>
      </c>
      <c r="J53" s="4"/>
      <c r="K53" s="2"/>
      <c r="L53" t="str" s="3">
        <f>HYPERLINK("https://www.getinge.com/de/news-und-events/klinische-einblicke/pharmazeutische-produktion/reduzierung-von-geraeteausfallzeiten-in-der-pharmazeutischen-industrie/","/news-und-events/klinische-einblicke/pharmazeutische-produktion/reduzierung-von-geraeteausfallzeiten-in-der-pharmazeutischen-industrie/")</f>
        <v>/news-und-events/klinische-einblicke/pharmazeutische-produktion/reduzierung-von-geraeteausfallzeiten-in-der-pharmazeutischen-industrie/</v>
      </c>
    </row>
    <row r="54">
      <c r="A54" s="0">
        <v>53</v>
      </c>
      <c r="B54" t="str" s="3">
        <f>HYPERLINK("https://www.getinge.com/int/insights/articles/pharmaceutical-production/reducing-device-downtime-in-the-pharmaceutical-industry/","/insights/articles/pharmaceutical-production/reducing-device-downtime-in-the-pharmaceutical-industry/")</f>
        <v>/insights/articles/pharmaceutical-production/reducing-device-downtime-in-the-pharmaceutical-industry/</v>
      </c>
      <c r="C54" t="inlineStr" s="2">
        <is>
          <t xml:space="preserve">Minimized need for repeated SOP recalibration</t>
        </is>
      </c>
      <c r="D54" s="2"/>
      <c r="F54" s="4"/>
      <c r="G54" t="inlineStr" s="2">
        <is>
          <t xml:space="preserve">Entfall der Notwendigkeit von Kalibrierung und Re-Kalibrierung</t>
        </is>
      </c>
      <c r="H54" t="inlineStr" s="2">
        <is>
          <t xml:space="preserve">Verkürzte Installations- und Inbetriebnahmezeiten</t>
        </is>
      </c>
      <c r="I54" t="inlineStr" s="2">
        <is>
          <t xml:space="preserve">Vereinfachter Sensortausch ohne Neukonfiguration</t>
        </is>
      </c>
      <c r="J54" s="4"/>
      <c r="K54" s="2"/>
      <c r="L54" t="str" s="3">
        <f>HYPERLINK("https://www.getinge.com/de/news-und-events/klinische-einblicke/pharmazeutische-produktion/reduzierung-von-geraeteausfallzeiten-in-der-pharmazeutischen-industrie/","/news-und-events/klinische-einblicke/pharmazeutische-produktion/reduzierung-von-geraeteausfallzeiten-in-der-pharmazeutischen-industrie/")</f>
        <v>/news-und-events/klinische-einblicke/pharmazeutische-produktion/reduzierung-von-geraeteausfallzeiten-in-der-pharmazeutischen-industrie/</v>
      </c>
    </row>
    <row r="55">
      <c r="A55" s="0">
        <v>54</v>
      </c>
      <c r="B55" t="str" s="3">
        <f>HYPERLINK("https://www.getinge.com/int/insights/articles/pharmaceutical-production/reducing-device-downtime-in-the-pharmaceutical-industry/","/insights/articles/pharmaceutical-production/reducing-device-downtime-in-the-pharmaceutical-industry/")</f>
        <v>/insights/articles/pharmaceutical-production/reducing-device-downtime-in-the-pharmaceutical-industry/</v>
      </c>
      <c r="C55" t="inlineStr" s="2">
        <is>
          <t xml:space="preserve">Simplified sensor replacement without reconfiguration</t>
        </is>
      </c>
      <c r="D55" t="inlineStr" s="2">
        <is>
          <t xml:space="preserve">Vereinfachter Sensortausch ohne Neukonfiguration</t>
        </is>
      </c>
      <c r="E55" t="inlineStr" s="0">
        <is>
          <t xml:space="preserve">Low</t>
        </is>
      </c>
      <c r="F55" s="4"/>
      <c r="G55" t="inlineStr" s="2">
        <is>
          <t xml:space="preserve">Entfall der Notwendigkeit von Kalibrierung und Re-Kalibrierung</t>
        </is>
      </c>
      <c r="H55" t="inlineStr" s="2">
        <is>
          <t xml:space="preserve">Verkürzte Installations- und Inbetriebnahmezeiten</t>
        </is>
      </c>
      <c r="I55" s="2"/>
      <c r="J55" s="4"/>
      <c r="K55" s="2"/>
      <c r="L55" t="str" s="3">
        <f>HYPERLINK("https://www.getinge.com/de/news-und-events/klinische-einblicke/pharmazeutische-produktion/reduzierung-von-geraeteausfallzeiten-in-der-pharmazeutischen-industrie/","/news-und-events/klinische-einblicke/pharmazeutische-produktion/reduzierung-von-geraeteausfallzeiten-in-der-pharmazeutischen-industrie/")</f>
        <v>/news-und-events/klinische-einblicke/pharmazeutische-produktion/reduzierung-von-geraeteausfallzeiten-in-der-pharmazeutischen-industrie/</v>
      </c>
    </row>
    <row r="56">
      <c r="A56" s="0">
        <v>55</v>
      </c>
      <c r="B56" t="str" s="3">
        <f>HYPERLINK("https://www.getinge.com/int/insights/articles/pharmaceutical-production/reducing-device-downtime-in-the-pharmaceutical-industry/","/insights/articles/pharmaceutical-production/reducing-device-downtime-in-the-pharmaceutical-industry/")</f>
        <v>/insights/articles/pharmaceutical-production/reducing-device-downtime-in-the-pharmaceutical-industry/</v>
      </c>
      <c r="C56" t="inlineStr" s="2">
        <is>
          <t xml:space="preserve">Thanks to its fieldbus-neutral architecture, IO-Link can be integrated into existing or new IIoT automation systems. This flexibility supports long-term standardization efforts across facilities and contributes to improved interoperability between systems and devices.</t>
        </is>
      </c>
      <c r="D56" t="inlineStr" s="2">
        <is>
          <t xml:space="preserve">Dank seiner feldbusneutralen Architektur kann IO-Link in bestehende oder neue IIoT-Automatisierungssysteme integriert werden. Diese Flexibilität unterstützt langfristige Standardisierungsbemühungen in Produktionsstätten und trägt zu einer verbesserten Interoperabilität zwischen Systemen und Geräten bei.</t>
        </is>
      </c>
      <c r="E56" t="inlineStr" s="0">
        <is>
          <t xml:space="preserve">Medium</t>
        </is>
      </c>
      <c r="F56" s="4"/>
      <c r="G56" t="inlineStr" s="2">
        <is>
          <t xml:space="preserve">Einer der Hauptvorteile von IO-Link ist die Möglichkeit, die Geräteeinrichtung und -wartung zu vereinfachen. Während der Inbetriebnahme werden Konfigurationsdaten digital übertragen, wodurch eine manuelle Sensorkalibrierung entfällt. Wird ein Komponententausch erforderlich, werden die Geräteeinstellungen automatisch auf das neue Gerät übertragen – was zur Reduzierung von Ausfallzeiten und Wartungsaufwand beiträgt.</t>
        </is>
      </c>
      <c r="H56" s="2"/>
      <c r="I56" s="2"/>
      <c r="J56" s="4"/>
      <c r="K56" s="2"/>
      <c r="L56" t="str" s="3">
        <f>HYPERLINK("https://www.getinge.com/de/news-und-events/klinische-einblicke/pharmazeutische-produktion/reduzierung-von-geraeteausfallzeiten-in-der-pharmazeutischen-industrie/","/news-und-events/klinische-einblicke/pharmazeutische-produktion/reduzierung-von-geraeteausfallzeiten-in-der-pharmazeutischen-industrie/")</f>
        <v>/news-und-events/klinische-einblicke/pharmazeutische-produktion/reduzierung-von-geraeteausfallzeiten-in-der-pharmazeutischen-industrie/</v>
      </c>
    </row>
    <row r="57">
      <c r="A57" s="0">
        <v>56</v>
      </c>
      <c r="B57" t="str" s="3">
        <f>HYPERLINK("https://www.getinge.com/int/insights/articles/pharmaceutical-production/selecting-the-right-equipment-for-aseptic-processing/","/insights/articles/pharmaceutical-production/selecting-the-right-equipment-for-aseptic-processing/")</f>
        <v>/insights/articles/pharmaceutical-production/selecting-the-right-equipment-for-aseptic-processing/</v>
      </c>
      <c r="C57" t="inlineStr" s="2">
        <is>
          <t xml:space="preserve">Isolators provide greater mitigation against microbial and particulate contamination by containing the process within the chamber and eliminating contact with the operator. This makes it easier to trace sources of contamination, improves sterility assurance, reduces downtime, and provides greater control over the process. They also provide protection from toxic chemicals, drugs, manufactured substances, and potent or highly potent active pharmaceutical ingredients (APIs and HPAPIs) for operators and pharmacists.</t>
        </is>
      </c>
      <c r="D57" t="inlineStr" s="2">
        <is>
          <t xml:space="preserve">Isolatoren bieten einen besseren Schutz vor mikrobieller und partikulärer Kontamination. Dies wird erreicht, indem der Prozess in der Kammer eingeschlossen wird und der Kontakt mit dem Bediener vermieden wird. Dadurch wird die Rückverfolgbarkeit von Kontaminationsquellen erleichtert, die Sterilitätssicherung verbessert, Ausfallzeiten reduziert und eine bessere Prozesskontrolle ermöglicht. Sie bieten den Bedienern und Pharmazeuten auch Schutz vor toxischen Chemikalien, Arzneimitteln, hergestellten Stoffen und starken oder hochwirksamen pharmazeutischen Wirkstoffen (Active Pharmaceutical Ingredients (API) und Highly Active Pharmaceutical Ingredients (HPAPI)).</t>
        </is>
      </c>
      <c r="E57" t="inlineStr" s="0">
        <is>
          <t xml:space="preserve">Medium</t>
        </is>
      </c>
      <c r="F57" s="4"/>
      <c r="G57" t="inlineStr" s="2">
        <is>
          <t xml:space="preserve">Isolatoren sind eine akzeptable fortschrittliche aseptische Verarbeitungsmethode (AAP), die sich ideal für ultrareine Produktionsanforderungen eignet. AAP-Techniken sind in der Regel vollständige Barrieremethoden, die während kritischer Prozessschritte verwendet werden. Laminar-Flow-Hauben, Biosicherheitsschränke und RABS mit offener Tür sind für AAP-Anwendungen nicht geeignet. Zusätzlich zur vollständigen Trennung von Prozess und Bediener erfordern AAP-Techniken eine vollständige Kontrolle der Penetration, um ein Höchstmaß an partikulärer und mikrobieller Kontamination zu gewährleisten. Obwohl sowohl RABS als auch Isolatoren häufig in AAP-Verfahren eingesetzt werden, bietet die Konsistenz der automatisierten Biodekontaminationszyklen in Isolatoren einen klaren Vorteil bei der Kontaminationskontrolle.</t>
        </is>
      </c>
      <c r="H57" t="inlineStr" s="2">
        <is>
          <t xml:space="preserve">Zu den gängigen Isolatorkonfigurationen gehören solche, die speziell für Testverfahren entwickelt wurden. Darüber hinaus gibt es Isolatoren, die für alle gängigen aseptischen Anwendungen optimiert sind. Isolatoren von Getinge sind mit allen unseren DPTE®-Transferlösungen kompatibel und gewährleisten so einen sicheren und effizienten Transfer ohne Unterbrechung des Containments.</t>
        </is>
      </c>
      <c r="I57" s="2"/>
      <c r="J57" s="4"/>
      <c r="K57" s="2"/>
      <c r="L57" t="str" s="3">
        <f>HYPERLINK("https://www.getinge.com/de/news-und-events/klinische-einblicke/pharmazeutische-produktion/auswahl-der-richtigen-geraete-fuer-aseptische-prozesse/","/news-und-events/klinische-einblicke/pharmazeutische-produktion/auswahl-der-richtigen-geraete-fuer-aseptische-prozesse/")</f>
        <v>/news-und-events/klinische-einblicke/pharmazeutische-produktion/auswahl-der-richtigen-geraete-fuer-aseptische-prozesse/</v>
      </c>
    </row>
    <row r="58">
      <c r="A58" s="0">
        <v>57</v>
      </c>
      <c r="B58" t="str" s="3">
        <f>HYPERLINK("https://www.getinge.com/int/insights/articles/pharmaceutical-production/selecting-the-right-equipment-for-aseptic-processing/","/insights/articles/pharmaceutical-production/selecting-the-right-equipment-for-aseptic-processing/")</f>
        <v>/insights/articles/pharmaceutical-production/selecting-the-right-equipment-for-aseptic-processing/</v>
      </c>
      <c r="C58" t="inlineStr" s="2">
        <is>
          <t xml:space="preserve">Common isolator configurations include those designed specifically for testing procedures and isolators optimized for all common aseptic applications. Getinge isolators are compatible with our full range of DPTE® transfer solutions to ensure safe and efficient transfer without breaking containment.</t>
        </is>
      </c>
      <c r="D58" t="inlineStr" s="2">
        <is>
          <t xml:space="preserve">Zu den gängigen Isolatorkonfigurationen gehören solche, die speziell für Testverfahren entwickelt wurden. Darüber hinaus gibt es Isolatoren, die für alle gängigen aseptischen Anwendungen optimiert sind. Isolatoren von Getinge sind mit allen unseren DPTE®-Transferlösungen kompatibel und gewährleisten so einen sicheren und effizienten Transfer ohne Unterbrechung des Containments.</t>
        </is>
      </c>
      <c r="E58" t="inlineStr" s="0">
        <is>
          <t xml:space="preserve">Medium</t>
        </is>
      </c>
      <c r="F58" s="4"/>
      <c r="G58" t="inlineStr" s="2">
        <is>
          <t xml:space="preserve">Ein modulares Isolatorsystem bietet eine flexible Konfiguration und Möglichkeiten für Modifikationen, um Ihre individuellen Prozess- und Anwendungsanforderungen zu erfüllen.</t>
        </is>
      </c>
      <c r="H58" t="inlineStr" s="2">
        <is>
          <t xml:space="preserve">Sie sind optimiert für das aseptische Abfüllen und Umpacken steriler Komponenten, das Mischen, die Vorbereitung von Arzneimitteln und Medizinprodukten und mehr.</t>
        </is>
      </c>
      <c r="I58" t="inlineStr" s="2">
        <is>
          <t xml:space="preserve">Optimiert für Sterilitätstests bei sterilen Medikamenten, Komponenten und Geräten.</t>
        </is>
      </c>
      <c r="J58" s="4"/>
      <c r="K58" s="2"/>
      <c r="L58" t="str" s="3">
        <f>HYPERLINK("https://www.getinge.com/de/news-und-events/klinische-einblicke/pharmazeutische-produktion/auswahl-der-richtigen-geraete-fuer-aseptische-prozesse/","/news-und-events/klinische-einblicke/pharmazeutische-produktion/auswahl-der-richtigen-geraete-fuer-aseptische-prozesse/")</f>
        <v>/news-und-events/klinische-einblicke/pharmazeutische-produktion/auswahl-der-richtigen-geraete-fuer-aseptische-prozesse/</v>
      </c>
    </row>
    <row r="59">
      <c r="A59" s="0">
        <v>58</v>
      </c>
      <c r="B59" t="str" s="3">
        <f>HYPERLINK("https://www.getinge.com/int/insights/articles/pharmaceutical-production/selecting-the-right-equipment-for-aseptic-processing/","/insights/articles/pharmaceutical-production/selecting-the-right-equipment-for-aseptic-processing/")</f>
        <v>/insights/articles/pharmaceutical-production/selecting-the-right-equipment-for-aseptic-processing/</v>
      </c>
      <c r="C59" t="inlineStr" s="2">
        <is>
          <t xml:space="preserve">Getinge Isolators</t>
        </is>
      </c>
      <c r="D59" s="2"/>
      <c r="F59" s="4"/>
      <c r="G59" t="inlineStr" s="2">
        <is>
          <t xml:space="preserve">ISOFLEX Isolatoren</t>
        </is>
      </c>
      <c r="H59" t="inlineStr" s="2">
        <is>
          <t xml:space="preserve">ISOFLEX Isolatoren ISOFLEX-S Isolatoren ISOPRIME Isolatoren</t>
        </is>
      </c>
      <c r="I59" t="inlineStr" s="2">
        <is>
          <t xml:space="preserve">ISOTEST Isolatoren ISOFLEX Isolatoren ISOFLEX-S Isolatoren ISOPRIME Isolatoren</t>
        </is>
      </c>
      <c r="J59" s="4"/>
      <c r="K59" s="2"/>
      <c r="L59" t="str" s="3">
        <f>HYPERLINK("https://www.getinge.com/de/news-und-events/klinische-einblicke/pharmazeutische-produktion/auswahl-der-richtigen-geraete-fuer-aseptische-prozesse/","/news-und-events/klinische-einblicke/pharmazeutische-produktion/auswahl-der-richtigen-geraete-fuer-aseptische-prozesse/")</f>
        <v>/news-und-events/klinische-einblicke/pharmazeutische-produktion/auswahl-der-richtigen-geraete-fuer-aseptische-prozesse/</v>
      </c>
    </row>
    <row r="60">
      <c r="A60" s="0">
        <v>59</v>
      </c>
      <c r="B60" t="str" s="3">
        <f>HYPERLINK("https://www.getinge.com/int/insights/articles/pharmaceutical-production/selecting-the-right-equipment-for-aseptic-processing/","/insights/articles/pharmaceutical-production/selecting-the-right-equipment-for-aseptic-processing/")</f>
        <v>/insights/articles/pharmaceutical-production/selecting-the-right-equipment-for-aseptic-processing/</v>
      </c>
      <c r="C60" t="inlineStr" s="2">
        <is>
          <t xml:space="preserve">Optimized for sterility testing of sterile drugs, components, and devices.</t>
        </is>
      </c>
      <c r="D60" t="inlineStr" s="2">
        <is>
          <t xml:space="preserve">Optimiert für Sterilitätstests bei sterilen Medikamenten, Komponenten und Geräten.</t>
        </is>
      </c>
      <c r="E60" t="inlineStr" s="0">
        <is>
          <t xml:space="preserve">High</t>
        </is>
      </c>
      <c r="F60" s="4"/>
      <c r="G60" t="inlineStr" s="2">
        <is>
          <t xml:space="preserve">ISOTEST Isolatoren ISOFLEX Isolatoren ISOFLEX-S Isolatoren ISOPRIME Isolatoren</t>
        </is>
      </c>
      <c r="H60" t="inlineStr" s="2">
        <is>
          <t xml:space="preserve">Sie sind optimiert für das aseptische Abfüllen und Umpacken steriler Komponenten, das Mischen, die Vorbereitung von Arzneimitteln und Medizinprodukten und mehr.</t>
        </is>
      </c>
      <c r="I60" t="inlineStr" s="2">
        <is>
          <t xml:space="preserve">ISOFLEX Isolatoren ISOFLEX-S Isolatoren ISOPRIME Isolatoren</t>
        </is>
      </c>
      <c r="J60" s="4"/>
      <c r="K60" s="2"/>
      <c r="L60" t="str" s="3">
        <f>HYPERLINK("https://www.getinge.com/de/news-und-events/klinische-einblicke/pharmazeutische-produktion/auswahl-der-richtigen-geraete-fuer-aseptische-prozesse/","/news-und-events/klinische-einblicke/pharmazeutische-produktion/auswahl-der-richtigen-geraete-fuer-aseptische-prozesse/")</f>
        <v>/news-und-events/klinische-einblicke/pharmazeutische-produktion/auswahl-der-richtigen-geraete-fuer-aseptische-prozesse/</v>
      </c>
    </row>
    <row r="61">
      <c r="A61" s="0">
        <v>60</v>
      </c>
      <c r="B61" t="str" s="3">
        <f>HYPERLINK("https://www.getinge.com/int/insights/articles/pharmaceutical-production/selecting-the-right-equipment-for-aseptic-processing/","/insights/articles/pharmaceutical-production/selecting-the-right-equipment-for-aseptic-processing/")</f>
        <v>/insights/articles/pharmaceutical-production/selecting-the-right-equipment-for-aseptic-processing/</v>
      </c>
      <c r="C61" t="inlineStr" s="2">
        <is>
          <t xml:space="preserve">Optimized for aseptic filling and repackaging of sterile components, compounding, preparation of medical drugs and devices, and more.</t>
        </is>
      </c>
      <c r="D61" t="inlineStr" s="2">
        <is>
          <t xml:space="preserve">Sie sind optimiert für das aseptische Abfüllen und Umpacken steriler Komponenten, das Mischen, die Vorbereitung von Arzneimitteln und Medizinprodukten und mehr.</t>
        </is>
      </c>
      <c r="E61" t="inlineStr" s="0">
        <is>
          <t xml:space="preserve">High</t>
        </is>
      </c>
      <c r="F61" s="4"/>
      <c r="G61" t="inlineStr" s="2">
        <is>
          <t xml:space="preserve">Optimiert für Sterilitätstests bei sterilen Medikamenten, Komponenten und Geräten.</t>
        </is>
      </c>
      <c r="H61" t="inlineStr" s="2">
        <is>
          <t xml:space="preserve">Ein modulares Isolatorsystem bietet eine flexible Konfiguration und Möglichkeiten für Modifikationen, um Ihre individuellen Prozess- und Anwendungsanforderungen zu erfüllen.</t>
        </is>
      </c>
      <c r="I61" t="inlineStr" s="2">
        <is>
          <t xml:space="preserve">Zu den gängigen Isolatorkonfigurationen gehören solche, die speziell für Testverfahren entwickelt wurden. Darüber hinaus gibt es Isolatoren, die für alle gängigen aseptischen Anwendungen optimiert sind. Isolatoren von Getinge sind mit allen unseren DPTE®-Transferlösungen kompatibel und gewährleisten so einen sicheren und effizienten Transfer ohne Unterbrechung des Containments.</t>
        </is>
      </c>
      <c r="J61" s="4"/>
      <c r="K61" s="2"/>
      <c r="L61" t="str" s="3">
        <f>HYPERLINK("https://www.getinge.com/de/news-und-events/klinische-einblicke/pharmazeutische-produktion/auswahl-der-richtigen-geraete-fuer-aseptische-prozesse/","/news-und-events/klinische-einblicke/pharmazeutische-produktion/auswahl-der-richtigen-geraete-fuer-aseptische-prozesse/")</f>
        <v>/news-und-events/klinische-einblicke/pharmazeutische-produktion/auswahl-der-richtigen-geraete-fuer-aseptische-prozesse/</v>
      </c>
    </row>
    <row r="62">
      <c r="A62" s="0">
        <v>61</v>
      </c>
      <c r="B62" t="str" s="3">
        <f>HYPERLINK("https://www.getinge.com/int/insights/articles/pharmaceutical-production/selecting-the-right-equipment-for-aseptic-processing/","/insights/articles/pharmaceutical-production/selecting-the-right-equipment-for-aseptic-processing/")</f>
        <v>/insights/articles/pharmaceutical-production/selecting-the-right-equipment-for-aseptic-processing/</v>
      </c>
      <c r="C62" t="inlineStr" s="2">
        <is>
          <t xml:space="preserve">A modular isolator system provides flexible configuration and modification possibilities to meet your specific process and application requirements.</t>
        </is>
      </c>
      <c r="D62" t="inlineStr" s="2">
        <is>
          <t xml:space="preserve">Ein modulares Isolatorsystem bietet eine flexible Konfiguration und Möglichkeiten für Modifikationen, um Ihre individuellen Prozess- und Anwendungsanforderungen zu erfüllen.</t>
        </is>
      </c>
      <c r="E62" t="inlineStr" s="0">
        <is>
          <t xml:space="preserve">High</t>
        </is>
      </c>
      <c r="F62" s="4"/>
      <c r="G62" t="inlineStr" s="2">
        <is>
          <t xml:space="preserve">Sie sind optimiert für das aseptische Abfüllen und Umpacken steriler Komponenten, das Mischen, die Vorbereitung von Arzneimitteln und Medizinprodukten und mehr.</t>
        </is>
      </c>
      <c r="H62" t="inlineStr" s="2">
        <is>
          <t xml:space="preserve">ISOTEST Isolatoren ISOFLEX Isolatoren ISOFLEX-S Isolatoren ISOPRIME Isolatoren</t>
        </is>
      </c>
      <c r="I62" t="inlineStr" s="2">
        <is>
          <t xml:space="preserve">ISOFLEX Isolatoren</t>
        </is>
      </c>
      <c r="J62" s="4"/>
      <c r="K62" s="2"/>
      <c r="L62" t="str" s="3">
        <f>HYPERLINK("https://www.getinge.com/de/news-und-events/klinische-einblicke/pharmazeutische-produktion/auswahl-der-richtigen-geraete-fuer-aseptische-prozesse/","/news-und-events/klinische-einblicke/pharmazeutische-produktion/auswahl-der-richtigen-geraete-fuer-aseptische-prozesse/")</f>
        <v>/news-und-events/klinische-einblicke/pharmazeutische-produktion/auswahl-der-richtigen-geraete-fuer-aseptische-prozesse/</v>
      </c>
    </row>
    <row r="63">
      <c r="A63" s="0">
        <v>62</v>
      </c>
      <c r="B63" t="str" s="3">
        <f>HYPERLINK("https://www.getinge.com/int/insights/articles/pharmaceutical-production/selecting-the-right-equipment-for-aseptic-processing/","/insights/articles/pharmaceutical-production/selecting-the-right-equipment-for-aseptic-processing/")</f>
        <v>/insights/articles/pharmaceutical-production/selecting-the-right-equipment-for-aseptic-processing/</v>
      </c>
      <c r="C63" t="inlineStr" s="2">
        <is>
          <t xml:space="preserve">ISOTEST Isolators ISOFLEX Isolators ISOFLEX-S Isolators ISOPRIME Isolators</t>
        </is>
      </c>
      <c r="D63" t="inlineStr" s="2">
        <is>
          <t xml:space="preserve">ISOTEST Isolatoren ISOFLEX Isolatoren ISOFLEX-S Isolatoren ISOPRIME Isolatoren</t>
        </is>
      </c>
      <c r="E63" t="inlineStr" s="0">
        <is>
          <t xml:space="preserve">High</t>
        </is>
      </c>
      <c r="F63" s="4"/>
      <c r="G63" t="inlineStr" s="2">
        <is>
          <t xml:space="preserve">ISOFLEX Isolatoren ISOFLEX-S Isolatoren ISOPRIME Isolatoren</t>
        </is>
      </c>
      <c r="H63" t="inlineStr" s="2">
        <is>
          <t xml:space="preserve">ISOFLEX Isolatoren</t>
        </is>
      </c>
      <c r="I63" t="inlineStr" s="2">
        <is>
          <t xml:space="preserve">Optimiert für Sterilitätstests bei sterilen Medikamenten, Komponenten und Geräten.</t>
        </is>
      </c>
      <c r="J63" s="4"/>
      <c r="K63" s="2"/>
      <c r="L63" t="str" s="3">
        <f>HYPERLINK("https://www.getinge.com/de/news-und-events/klinische-einblicke/pharmazeutische-produktion/auswahl-der-richtigen-geraete-fuer-aseptische-prozesse/","/news-und-events/klinische-einblicke/pharmazeutische-produktion/auswahl-der-richtigen-geraete-fuer-aseptische-prozesse/")</f>
        <v>/news-und-events/klinische-einblicke/pharmazeutische-produktion/auswahl-der-richtigen-geraete-fuer-aseptische-prozesse/</v>
      </c>
    </row>
    <row r="64">
      <c r="A64" s="0">
        <v>63</v>
      </c>
      <c r="B64" t="str" s="3">
        <f>HYPERLINK("https://www.getinge.com/int/insights/articles/pharmaceutical-production/selecting-the-right-equipment-for-aseptic-processing/","/insights/articles/pharmaceutical-production/selecting-the-right-equipment-for-aseptic-processing/")</f>
        <v>/insights/articles/pharmaceutical-production/selecting-the-right-equipment-for-aseptic-processing/</v>
      </c>
      <c r="C64" t="inlineStr" s="2">
        <is>
          <t xml:space="preserve">ISOFLEX Isolators ISOFLEX-S Isolators ISOPRIME Isolators</t>
        </is>
      </c>
      <c r="D64" t="inlineStr" s="2">
        <is>
          <t xml:space="preserve">ISOFLEX Isolatoren ISOFLEX-S Isolatoren ISOPRIME Isolatoren</t>
        </is>
      </c>
      <c r="E64" t="inlineStr" s="0">
        <is>
          <t xml:space="preserve">High</t>
        </is>
      </c>
      <c r="F64" s="4"/>
      <c r="G64" t="inlineStr" s="2">
        <is>
          <t xml:space="preserve">ISOTEST Isolatoren ISOFLEX Isolatoren ISOFLEX-S Isolatoren ISOPRIME Isolatoren</t>
        </is>
      </c>
      <c r="H64" t="inlineStr" s="2">
        <is>
          <t xml:space="preserve">ISOFLEX Isolatoren</t>
        </is>
      </c>
      <c r="I64" t="inlineStr" s="2">
        <is>
          <t xml:space="preserve">Optimiert für Sterilitätstests bei sterilen Medikamenten, Komponenten und Geräten.</t>
        </is>
      </c>
      <c r="J64" s="4"/>
      <c r="K64" s="2"/>
      <c r="L64" t="str" s="3">
        <f>HYPERLINK("https://www.getinge.com/de/news-und-events/klinische-einblicke/pharmazeutische-produktion/auswahl-der-richtigen-geraete-fuer-aseptische-prozesse/","/news-und-events/klinische-einblicke/pharmazeutische-produktion/auswahl-der-richtigen-geraete-fuer-aseptische-prozesse/")</f>
        <v>/news-und-events/klinische-einblicke/pharmazeutische-produktion/auswahl-der-richtigen-geraete-fuer-aseptische-prozesse/</v>
      </c>
    </row>
    <row r="65">
      <c r="A65" s="0">
        <v>64</v>
      </c>
      <c r="B65" t="str" s="3">
        <f>HYPERLINK("https://www.getinge.com/int/insights/idea-and-invention-submission/","/insights/idea-and-invention-submission/")</f>
        <v>/insights/idea-and-invention-submission/</v>
      </c>
      <c r="C65" t="inlineStr" s="2">
        <is>
          <t xml:space="preserve">Getinge believes that every person should get the best possible care. We are committed to improving patient outcome through technology solutions. Getinge works closely with health care providers to share knowledge and experiences, and we believe in leveraging the best ideas for delivering value to our customers and to improve the health and well-being of others. Whether you have an idea or an invention (as defined below), we welcome your submission.</t>
        </is>
      </c>
      <c r="D65" t="inlineStr" s="2">
        <is>
          <t xml:space="preserve">Bei Getinge sind wir fest davon überzeugt, dass jeder Mensch die bestmögliche medizinische Versorgung haben sollte. Wir setzen uns dafür ein, die Behandlungsergebnisse der Patienten durch innovative technologische Lösungen zu verbessern. Getinge arbeitet eng mit Gesundheitseinrichtungen zusammen, um Wissen und Erfahrungen auszutauschen. Wir versuchen stets die besten Ideen zu nutzen, um unseren Kundinnen und Kunden einen Mehrwert zu bieten und die Gesundheit und das Wohlbefinden anderer zu verbessern.</t>
        </is>
      </c>
      <c r="E65" t="inlineStr" s="0">
        <is>
          <t xml:space="preserve">Low</t>
        </is>
      </c>
      <c r="F65" s="4"/>
      <c r="G65" t="inlineStr" s="2">
        <is>
          <t xml:space="preserve">Wenn Sie eine Idee oder Erfindung haben, die sich in unsere bestehenden Geschäftsbereiche und Technologien einfügt, laden wir Sie herzlich ein, diese bei uns einzureichen. Bitte reichen Sie jedoch nur Ideen und Erfindungen ein, die einen Zusammenhang zu unseren bestehenden Geschäftsbereiche und Technologien verdeutlichen. Orientieren sie sich dazu gerne hier auf der Getinge Webseite. Sollte dieser Zusammenhang nicht sofort ersichtlich sein, bitten wir Sie, dies in den eingereichten Unterlagen zu erläutern.</t>
        </is>
      </c>
      <c r="H65" s="2"/>
      <c r="I65" s="2"/>
      <c r="J65" s="4"/>
      <c r="K65" s="2"/>
      <c r="L65" t="str" s="3">
        <f>HYPERLINK("https://www.getinge.com/de/news-und-events/einreichen-von-ideen-und-erfindungen/","/news-und-events/einreichen-von-ideen-und-erfindungen/")</f>
        <v>/news-und-events/einreichen-von-ideen-und-erfindungen/</v>
      </c>
    </row>
    <row r="66">
      <c r="A66" s="0">
        <v>65</v>
      </c>
      <c r="B66" t="str" s="3">
        <f>HYPERLINK("https://www.getinge.com/int/insights/idea-and-invention-submission/","/insights/idea-and-invention-submission/")</f>
        <v>/insights/idea-and-invention-submission/</v>
      </c>
      <c r="C66" t="inlineStr" s="2">
        <is>
          <t xml:space="preserve">Please however only submit ideas and inventions that are relevant to Getinge’s existing business areas and technologies, as shown on www.getinge.com. Please also explain the connection to Getinge’s existing businesses and technologies if it is not immediately obvious from your submission.</t>
        </is>
      </c>
      <c r="D66" s="2"/>
      <c r="F66" s="4"/>
      <c r="G66" t="inlineStr" s="2">
        <is>
          <t xml:space="preserve">Bei Getinge sind wir fest davon überzeugt, dass jeder Mensch die bestmögliche medizinische Versorgung haben sollte. Wir setzen uns dafür ein, die Behandlungsergebnisse der Patienten durch innovative technologische Lösungen zu verbessern. Getinge arbeitet eng mit Gesundheitseinrichtungen zusammen, um Wissen und Erfahrungen auszutauschen. Wir versuchen stets die besten Ideen zu nutzen, um unseren Kundinnen und Kunden einen Mehrwert zu bieten und die Gesundheit und das Wohlbefinden anderer zu verbessern.</t>
        </is>
      </c>
      <c r="H66" t="inlineStr" s="2">
        <is>
          <t xml:space="preserve">Wenn Sie eine Idee oder Erfindung haben, die sich in unsere bestehenden Geschäftsbereiche und Technologien einfügt, laden wir Sie herzlich ein, diese bei uns einzureichen. Bitte reichen Sie jedoch nur Ideen und Erfindungen ein, die einen Zusammenhang zu unseren bestehenden Geschäftsbereiche und Technologien verdeutlichen. Orientieren sie sich dazu gerne hier auf der Getinge Webseite. Sollte dieser Zusammenhang nicht sofort ersichtlich sein, bitten wir Sie, dies in den eingereichten Unterlagen zu erläutern.</t>
        </is>
      </c>
      <c r="I66" s="2"/>
      <c r="J66" s="4"/>
      <c r="K66" s="2"/>
      <c r="L66" t="str" s="3">
        <f>HYPERLINK("https://www.getinge.com/de/news-und-events/einreichen-von-ideen-und-erfindungen/","/news-und-events/einreichen-von-ideen-und-erfindungen/")</f>
        <v>/news-und-events/einreichen-von-ideen-und-erfindungen/</v>
      </c>
    </row>
    <row r="67">
      <c r="A67" s="0">
        <v>66</v>
      </c>
      <c r="B67" t="str" s="3">
        <f>HYPERLINK("https://www.getinge.com/int/insights/updates/healthcare/does-plasma-still-matter-in-vh2o2-sterilization/","/insights/updates/healthcare/does-plasma-still-matter-in-vh2o2-sterilization/")</f>
        <v>/insights/updates/healthcare/does-plasma-still-matter-in-vh2o2-sterilization/</v>
      </c>
      <c r="C67" t="inlineStr" s="2">
        <is>
          <t xml:space="preserve">A recently published Getinge white paper takes a closer look at plasma-assisted and non-plasma VH2O2 sterilization approaches through structured R&amp;D testing.</t>
        </is>
      </c>
      <c r="D67" t="inlineStr" s="2">
        <is>
          <t xml:space="preserve">Ein kürzlich veröffentlichtes Whitepaper von Getinge untersucht plasmaunterstützte und nicht-plasmaunterstützte VH2O2-Sterilisationsverfahren im Rahmen strukturierter F&amp;E-Tests.</t>
        </is>
      </c>
      <c r="E67" t="inlineStr" s="0">
        <is>
          <t xml:space="preserve">High</t>
        </is>
      </c>
      <c r="F67" s="4"/>
      <c r="G67" t="inlineStr" s="2">
        <is>
          <t xml:space="preserve">Die Ergebnisse legen nahe, dass einige langjährige Annahmen über plasmaunterstützte Systeme unter kontrollierten Testbedingungen nicht in messbare Vorteile überführt werden können.</t>
        </is>
      </c>
      <c r="H67" t="inlineStr" s="2">
        <is>
          <t xml:space="preserve">Laden Sie das vollständige Whitepaper herunter, um mehr über die detaillierte Testmethodik, die quantitative Analyse und die Überlegungen zur Auswahl des richtigen VH₂O₂-Systems für Ihre AEMP zu erfahren.</t>
        </is>
      </c>
      <c r="I67" t="inlineStr" s="2">
        <is>
          <t xml:space="preserve">Die im Whitepaper dargestellten Vergleichsergebnisse bieten eine strukturierte, datenbasierte Grundlage für fundierte Technologieentscheidungen.</t>
        </is>
      </c>
      <c r="J67" s="4"/>
      <c r="K67" s="2"/>
      <c r="L67" t="str" s="3">
        <f>HYPERLINK("https://www.getinge.com/de/news-und-events/neuigkeiten/gesundheitswesen/spielt-plasma-in-der-vh2o2-sterilisation-noch-eine-rolle/","/news-und-events/neuigkeiten/gesundheitswesen/spielt-plasma-in-der-vh2o2-sterilisation-noch-eine-rolle/")</f>
        <v>/news-und-events/neuigkeiten/gesundheitswesen/spielt-plasma-in-der-vh2o2-sterilisation-noch-eine-rolle/</v>
      </c>
    </row>
    <row r="68">
      <c r="A68" s="0">
        <v>67</v>
      </c>
      <c r="B68" t="str" s="3">
        <f>HYPERLINK("https://www.getinge.com/int/insights/updates/healthcare/does-plasma-still-matter-in-vh2o2-sterilization/","/insights/updates/healthcare/does-plasma-still-matter-in-vh2o2-sterilization/")</f>
        <v>/insights/updates/healthcare/does-plasma-still-matter-in-vh2o2-sterilization/</v>
      </c>
      <c r="C68" t="inlineStr" s="2">
        <is>
          <t xml:space="preserve">The analysis examined several widely discussed assumptions in the field:</t>
        </is>
      </c>
      <c r="D68" t="inlineStr" s="2">
        <is>
          <t xml:space="preserve">Die Analyse beleuchtet mehrere in der Praxis häufig diskutierte Annahmen:</t>
        </is>
      </c>
      <c r="E68" t="inlineStr" s="0">
        <is>
          <t xml:space="preserve">Medium</t>
        </is>
      </c>
      <c r="F68" s="4"/>
      <c r="G68" t="inlineStr" s="2">
        <is>
          <t xml:space="preserve">Die im Whitepaper dargestellten Vergleichsergebnisse bieten eine strukturierte, datenbasierte Grundlage für fundierte Technologieentscheidungen.</t>
        </is>
      </c>
      <c r="H68" s="2"/>
      <c r="I68" s="2"/>
      <c r="J68" s="4"/>
      <c r="K68" s="2"/>
      <c r="L68" t="str" s="3">
        <f>HYPERLINK("https://www.getinge.com/de/news-und-events/neuigkeiten/gesundheitswesen/spielt-plasma-in-der-vh2o2-sterilisation-noch-eine-rolle/","/news-und-events/neuigkeiten/gesundheitswesen/spielt-plasma-in-der-vh2o2-sterilisation-noch-eine-rolle/")</f>
        <v>/news-und-events/neuigkeiten/gesundheitswesen/spielt-plasma-in-der-vh2o2-sterilisation-noch-eine-rolle/</v>
      </c>
    </row>
    <row r="69">
      <c r="A69" s="0">
        <v>68</v>
      </c>
      <c r="B69" t="str" s="3">
        <f>HYPERLINK("https://www.getinge.com/int/insights/updates/healthcare/does-plasma-still-matter-in-vh2o2-sterilization/","/insights/updates/healthcare/does-plasma-still-matter-in-vh2o2-sterilization/")</f>
        <v>/insights/updates/healthcare/does-plasma-still-matter-in-vh2o2-sterilization/</v>
      </c>
      <c r="C69" t="inlineStr" s="2">
        <is>
          <t xml:space="preserve">Pre-conditioning behavior: Controlled measurements showed no considerable difference in temperature development between plasma-assisted and non-plasma environments during conditioning phases.</t>
        </is>
      </c>
      <c r="D69" s="2"/>
      <c r="F69" s="4"/>
      <c r="G69" t="inlineStr" s="2">
        <is>
          <t xml:space="preserve">Die Ergebnisse legen nahe, dass einige langjährige Annahmen über plasmaunterstützte Systeme unter kontrollierten Testbedingungen nicht in messbare Vorteile überführt werden können.</t>
        </is>
      </c>
      <c r="H69" t="inlineStr" s="2">
        <is>
          <t xml:space="preserve">In Umgebungen, in denen Zuverlässigkeit, Reproduzierbarkeit und Wartbarkeit entscheidend sind, können selbst scheinbar kleine architektonische Unterschiede die langfristige Stabilität der Prozesse maßgeblich beeinflussen.</t>
        </is>
      </c>
      <c r="I69" t="inlineStr" s="2">
        <is>
          <t xml:space="preserve">Laden Sie das vollständige Whitepaper herunter, um mehr über die detaillierte Testmethodik, die quantitative Analyse und die Überlegungen zur Auswahl des richtigen VH₂O₂-Systems für Ihre AEMP zu erfahren.</t>
        </is>
      </c>
      <c r="J69" s="4"/>
      <c r="K69" s="2"/>
      <c r="L69" t="str" s="3">
        <f>HYPERLINK("https://www.getinge.com/de/news-und-events/neuigkeiten/gesundheitswesen/spielt-plasma-in-der-vh2o2-sterilisation-noch-eine-rolle/","/news-und-events/neuigkeiten/gesundheitswesen/spielt-plasma-in-der-vh2o2-sterilisation-noch-eine-rolle/")</f>
        <v>/news-und-events/neuigkeiten/gesundheitswesen/spielt-plasma-in-der-vh2o2-sterilisation-noch-eine-rolle/</v>
      </c>
    </row>
    <row r="70">
      <c r="A70" s="0">
        <v>69</v>
      </c>
      <c r="B70" t="str" s="3">
        <f>HYPERLINK("https://www.getinge.com/int/insights/updates/healthcare/does-plasma-still-matter-in-vh2o2-sterilization/","/insights/updates/healthcare/does-plasma-still-matter-in-vh2o2-sterilization/")</f>
        <v>/insights/updates/healthcare/does-plasma-still-matter-in-vh2o2-sterilization/</v>
      </c>
      <c r="C70" t="inlineStr" s="2">
        <is>
          <t xml:space="preserve">Hydrogen peroxide removal: Both approaches demonstrated comparable removal characteristics under defined test conditions.</t>
        </is>
      </c>
      <c r="D70" s="2"/>
      <c r="F70" s="4"/>
      <c r="G70" t="inlineStr" s="2">
        <is>
          <t xml:space="preserve">Die im Whitepaper dargestellten Vergleichsergebnisse bieten eine strukturierte, datenbasierte Grundlage für fundierte Technologieentscheidungen.</t>
        </is>
      </c>
      <c r="H70" t="inlineStr" s="2">
        <is>
          <t xml:space="preserve">Ein kürzlich veröffentlichtes Whitepaper von Getinge untersucht plasmaunterstützte und nicht-plasmaunterstützte VH2O2-Sterilisationsverfahren im Rahmen strukturierter F&amp;E-Tests.</t>
        </is>
      </c>
      <c r="I70" t="inlineStr" s="2">
        <is>
          <t xml:space="preserve">Die Ergebnisse legen nahe, dass einige langjährige Annahmen über plasmaunterstützte Systeme unter kontrollierten Testbedingungen nicht in messbare Vorteile überführt werden können.</t>
        </is>
      </c>
      <c r="J70" s="4"/>
      <c r="K70" s="2"/>
      <c r="L70" t="str" s="3">
        <f>HYPERLINK("https://www.getinge.com/de/news-und-events/neuigkeiten/gesundheitswesen/spielt-plasma-in-der-vh2o2-sterilisation-noch-eine-rolle/","/news-und-events/neuigkeiten/gesundheitswesen/spielt-plasma-in-der-vh2o2-sterilisation-noch-eine-rolle/")</f>
        <v>/news-und-events/neuigkeiten/gesundheitswesen/spielt-plasma-in-der-vh2o2-sterilisation-noch-eine-rolle/</v>
      </c>
    </row>
    <row r="71">
      <c r="A71" s="0">
        <v>70</v>
      </c>
      <c r="B71" t="str" s="3">
        <f>HYPERLINK("https://www.getinge.com/int/insights/updates/healthcare/does-plasma-still-matter-in-vh2o2-sterilization/","/insights/updates/healthcare/does-plasma-still-matter-in-vh2o2-sterilization/")</f>
        <v>/insights/updates/healthcare/does-plasma-still-matter-in-vh2o2-sterilization/</v>
      </c>
      <c r="C71" t="inlineStr" s="2">
        <is>
          <t xml:space="preserve">Chamber architecture effects: Internal components required for plasma generation influence surface exposure within the chamber, affecting how the sterilant interacts during the load.</t>
        </is>
      </c>
      <c r="D71" s="2"/>
      <c r="F71" s="4"/>
      <c r="G71" t="inlineStr" s="2">
        <is>
          <t xml:space="preserve">Ein kürzlich veröffentlichtes Whitepaper von Getinge untersucht plasmaunterstützte und nicht-plasmaunterstützte VH2O2-Sterilisationsverfahren im Rahmen strukturierter F&amp;E-Tests.</t>
        </is>
      </c>
      <c r="H71" t="inlineStr" s="2">
        <is>
          <t xml:space="preserve">In Umgebungen, in denen Zuverlässigkeit, Reproduzierbarkeit und Wartbarkeit entscheidend sind, können selbst scheinbar kleine architektonische Unterschiede die langfristige Stabilität der Prozesse maßgeblich beeinflussen.</t>
        </is>
      </c>
      <c r="I71" t="inlineStr" s="2">
        <is>
          <t xml:space="preserve">Die Auswahl eines Niedertemperatur-Sterilisationssystems erfordert mehr als den Vergleich einzelner Funktionen. Entscheidend ist das Zusammenspiel aus validierter Leistung, Systemarchitektur, operativer Komplexität und langfristiger Prozessstabilität.</t>
        </is>
      </c>
      <c r="J71" s="4"/>
      <c r="K71" s="2"/>
      <c r="L71" t="str" s="3">
        <f>HYPERLINK("https://www.getinge.com/de/news-und-events/neuigkeiten/gesundheitswesen/spielt-plasma-in-der-vh2o2-sterilisation-noch-eine-rolle/","/news-und-events/neuigkeiten/gesundheitswesen/spielt-plasma-in-der-vh2o2-sterilisation-noch-eine-rolle/")</f>
        <v>/news-und-events/neuigkeiten/gesundheitswesen/spielt-plasma-in-der-vh2o2-sterilisation-noch-eine-rolle/</v>
      </c>
    </row>
    <row r="72">
      <c r="A72" s="0">
        <v>71</v>
      </c>
      <c r="B72" t="str" s="3">
        <f>HYPERLINK("https://www.getinge.com/int/insights/updates/healthcare/does-plasma-still-matter-in-vh2o2-sterilization/","/insights/updates/healthcare/does-plasma-still-matter-in-vh2o2-sterilization/")</f>
        <v>/insights/updates/healthcare/does-plasma-still-matter-in-vh2o2-sterilization/</v>
      </c>
      <c r="C72" t="inlineStr" s="2">
        <is>
          <t xml:space="preserve">Sterilant concentration dynamics: Increasing the initial hydrogen peroxide concentration did not proportionally increase the effective concentration on the load. This indicates Increasing the initial H₂O₂ concentration yields diminishing returns because the final condensed concentration on the load does not differ considerably at standard operating temperatures.</t>
        </is>
      </c>
      <c r="D72" s="2"/>
      <c r="F72" s="4"/>
      <c r="G72" t="inlineStr" s="2">
        <is>
          <t xml:space="preserve">Die Auswahl eines Niedertemperatur-Sterilisationssystems erfordert mehr als den Vergleich einzelner Funktionen. Entscheidend ist das Zusammenspiel aus validierter Leistung, Systemarchitektur, operativer Komplexität und langfristiger Prozessstabilität.</t>
        </is>
      </c>
      <c r="H72" s="2"/>
      <c r="I72" s="2"/>
      <c r="J72" s="4"/>
      <c r="K72" s="2"/>
      <c r="L72" t="str" s="3">
        <f>HYPERLINK("https://www.getinge.com/de/news-und-events/neuigkeiten/gesundheitswesen/spielt-plasma-in-der-vh2o2-sterilisation-noch-eine-rolle/","/news-und-events/neuigkeiten/gesundheitswesen/spielt-plasma-in-der-vh2o2-sterilisation-noch-eine-rolle/")</f>
        <v>/news-und-events/neuigkeiten/gesundheitswesen/spielt-plasma-in-der-vh2o2-sterilisation-noch-eine-rolle/</v>
      </c>
    </row>
    <row r="73">
      <c r="A73" s="0">
        <v>72</v>
      </c>
      <c r="B73" t="str" s="3">
        <f>HYPERLINK("https://www.getinge.com/int/insights/updates/healthcare/does-plasma-still-matter-in-vh2o2-sterilization/","/insights/updates/healthcare/does-plasma-still-matter-in-vh2o2-sterilization/")</f>
        <v>/insights/updates/healthcare/does-plasma-still-matter-in-vh2o2-sterilization/</v>
      </c>
      <c r="C73" t="inlineStr" s="2">
        <is>
          <t xml:space="preserve">The results indicate that some long-standing expectations around plasma-assisted systems may not translate into measurable advantages under controlled test conditions.</t>
        </is>
      </c>
      <c r="D73" t="inlineStr" s="2">
        <is>
          <t xml:space="preserve">Die Ergebnisse legen nahe, dass einige langjährige Annahmen über plasmaunterstützte Systeme unter kontrollierten Testbedingungen nicht in messbare Vorteile überführt werden können.</t>
        </is>
      </c>
      <c r="E73" t="inlineStr" s="0">
        <is>
          <t xml:space="preserve">Medium</t>
        </is>
      </c>
      <c r="F73" s="4"/>
      <c r="G73" t="inlineStr" s="2">
        <is>
          <t xml:space="preserve">Ein kürzlich veröffentlichtes Whitepaper von Getinge untersucht plasmaunterstützte und nicht-plasmaunterstützte VH2O2-Sterilisationsverfahren im Rahmen strukturierter F&amp;E-Tests.</t>
        </is>
      </c>
      <c r="H73" t="inlineStr" s="2">
        <is>
          <t xml:space="preserve">Laden Sie das vollständige Whitepaper herunter, um mehr über die detaillierte Testmethodik, die quantitative Analyse und die Überlegungen zur Auswahl des richtigen VH₂O₂-Systems für Ihre AEMP zu erfahren.</t>
        </is>
      </c>
      <c r="I73" t="inlineStr" s="2">
        <is>
          <t xml:space="preserve">In Umgebungen, in denen Zuverlässigkeit, Reproduzierbarkeit und Wartbarkeit entscheidend sind, können selbst scheinbar kleine architektonische Unterschiede die langfristige Stabilität der Prozesse maßgeblich beeinflussen.</t>
        </is>
      </c>
      <c r="J73" s="4"/>
      <c r="K73" s="2"/>
      <c r="L73" t="str" s="3">
        <f>HYPERLINK("https://www.getinge.com/de/news-und-events/neuigkeiten/gesundheitswesen/spielt-plasma-in-der-vh2o2-sterilisation-noch-eine-rolle/","/news-und-events/neuigkeiten/gesundheitswesen/spielt-plasma-in-der-vh2o2-sterilisation-noch-eine-rolle/")</f>
        <v>/news-und-events/neuigkeiten/gesundheitswesen/spielt-plasma-in-der-vh2o2-sterilisation-noch-eine-rolle/</v>
      </c>
    </row>
    <row r="74">
      <c r="A74" s="0">
        <v>73</v>
      </c>
      <c r="B74" t="str" s="3">
        <f>HYPERLINK("https://www.getinge.com/int/insights/updates/healthcare/does-plasma-still-matter-in-vh2o2-sterilization/","/insights/updates/healthcare/does-plasma-still-matter-in-vh2o2-sterilization/")</f>
        <v>/insights/updates/healthcare/does-plasma-still-matter-in-vh2o2-sterilization/</v>
      </c>
      <c r="C74" t="inlineStr" s="2">
        <is>
          <t xml:space="preserve">Selecting a low-temperature sterilization system requires more than comparing feature sets. It requires balancing validated performance, architectural design, operational complexity, and long-term process stability. In environments where reliability, reproducibility, and maintainability are critical, even subtle architectural differences can shape long-term operational stability. The comparative findings outlined in the white paper provide a structured, data‑driven foundation to support technology evaluation and decision‑making.</t>
        </is>
      </c>
      <c r="D74" s="2"/>
      <c r="F74" s="4"/>
      <c r="G74" t="inlineStr" s="2">
        <is>
          <t xml:space="preserve">Die Auswahl eines Niedertemperatur-Sterilisationssystems erfordert mehr als den Vergleich einzelner Funktionen. Entscheidend ist das Zusammenspiel aus validierter Leistung, Systemarchitektur, operativer Komplexität und langfristiger Prozessstabilität.</t>
        </is>
      </c>
      <c r="H74" t="inlineStr" s="2">
        <is>
          <t xml:space="preserve">Vorkonditionierung: Kontrollierte Messungen zeigten keinen signifikanten Unterschied in der Temperaturentwicklung zwischen plasmaunterstützten und nicht-plasmaunterstützten Umgebungen während der Konditionierungsphase. Entfernung von Wasserstoffperoxid: Beide Ansätze zeigten unter definierten Testbedingungen vergleichbare Eigenschaften bei der Entfernung des Sterilisationsmittels. Einfluss der Kammerarchitektur: Bauteile, die für die Plasmaerzeugung erforderlich sind, beeinflussen die Oberflächenexposition in der Kammer und damit die Interaktion des Sterilisationsmittels mit der Beladung. Konzentrationsdynamik des Sterilisationsmittels: Eine Erhöhung der initialen Wasserstoffperoxid-Konzentration führte nicht proportional zu einer höheren wirksamen Konzentration auf der Beladung. Dies deutet darauf hin, dass steigende Anfangskonzentrationen nur begrenzten zusätzlichen Nutzen bringen, da sich die endgültige kondensierte Konzentration unter Standardbedingungen kaum unterscheidet.</t>
        </is>
      </c>
      <c r="I74" t="inlineStr" s="2">
        <is>
          <t xml:space="preserve">In Umgebungen, in denen Zuverlässigkeit, Reproduzierbarkeit und Wartbarkeit entscheidend sind, können selbst scheinbar kleine architektonische Unterschiede die langfristige Stabilität der Prozesse maßgeblich beeinflussen.</t>
        </is>
      </c>
      <c r="J74" s="4"/>
      <c r="K74" s="2"/>
      <c r="L74" t="str" s="3">
        <f>HYPERLINK("https://www.getinge.com/de/news-und-events/neuigkeiten/gesundheitswesen/spielt-plasma-in-der-vh2o2-sterilisation-noch-eine-rolle/","/news-und-events/neuigkeiten/gesundheitswesen/spielt-plasma-in-der-vh2o2-sterilisation-noch-eine-rolle/")</f>
        <v>/news-und-events/neuigkeiten/gesundheitswesen/spielt-plasma-in-der-vh2o2-sterilisation-noch-eine-rolle/</v>
      </c>
    </row>
    <row r="75">
      <c r="A75" s="0">
        <v>74</v>
      </c>
      <c r="B75" t="str" s="3">
        <f>HYPERLINK("https://www.getinge.com/int/insights/updates/healthcare/does-plasma-still-matter-in-vh2o2-sterilization/","/insights/updates/healthcare/does-plasma-still-matter-in-vh2o2-sterilization/")</f>
        <v>/insights/updates/healthcare/does-plasma-still-matter-in-vh2o2-sterilization/</v>
      </c>
      <c r="C75" t="inlineStr" s="2">
        <is>
          <t xml:space="preserve">White Paper</t>
        </is>
      </c>
      <c r="D75" t="inlineStr" s="2">
        <is>
          <t xml:space="preserve">Whitepaper</t>
        </is>
      </c>
      <c r="E75" t="inlineStr" s="0">
        <is>
          <t xml:space="preserve">High</t>
        </is>
      </c>
      <c r="F75" s="4"/>
      <c r="G75" t="inlineStr" s="2">
        <is>
          <t xml:space="preserve">Fazit</t>
        </is>
      </c>
      <c r="H75" t="inlineStr" s="2">
        <is>
          <t xml:space="preserve">Die im Whitepaper dargestellten Vergleichsergebnisse bieten eine strukturierte, datenbasierte Grundlage für fundierte Technologieentscheidungen.</t>
        </is>
      </c>
      <c r="I75" s="2"/>
      <c r="J75" s="4"/>
      <c r="K75" s="2"/>
      <c r="L75" t="str" s="3">
        <f>HYPERLINK("https://www.getinge.com/de/news-und-events/neuigkeiten/gesundheitswesen/spielt-plasma-in-der-vh2o2-sterilisation-noch-eine-rolle/","/news-und-events/neuigkeiten/gesundheitswesen/spielt-plasma-in-der-vh2o2-sterilisation-noch-eine-rolle/")</f>
        <v>/news-und-events/neuigkeiten/gesundheitswesen/spielt-plasma-in-der-vh2o2-sterilisation-noch-eine-rolle/</v>
      </c>
    </row>
    <row r="76">
      <c r="A76" s="0">
        <v>75</v>
      </c>
      <c r="B76" t="str" s="3">
        <f>HYPERLINK("https://www.getinge.com/int/insights/updates/healthcare/does-plasma-still-matter-in-vh2o2-sterilization/","/insights/updates/healthcare/does-plasma-still-matter-in-vh2o2-sterilization/")</f>
        <v>/insights/updates/healthcare/does-plasma-still-matter-in-vh2o2-sterilization/</v>
      </c>
      <c r="C76" t="inlineStr" s="2">
        <is>
          <t xml:space="preserve">Download the full white paper to explore the detailed test methodology, quantitative analysis, and considerations for selecting the right VH2O2 system for your CSSD.</t>
        </is>
      </c>
      <c r="D76" t="inlineStr" s="2">
        <is>
          <t xml:space="preserve">Laden Sie das vollständige Whitepaper herunter, um mehr über die detaillierte Testmethodik, die quantitative Analyse und die Überlegungen zur Auswahl des richtigen VH₂O₂-Systems für Ihre AEMP zu erfahren.</t>
        </is>
      </c>
      <c r="E76" t="inlineStr" s="0">
        <is>
          <t xml:space="preserve">Medium</t>
        </is>
      </c>
      <c r="F76" s="4"/>
      <c r="G76" t="inlineStr" s="2">
        <is>
          <t xml:space="preserve">Ein kürzlich veröffentlichtes Whitepaper von Getinge untersucht plasmaunterstützte und nicht-plasmaunterstützte VH2O2-Sterilisationsverfahren im Rahmen strukturierter F&amp;E-Tests.</t>
        </is>
      </c>
      <c r="H76" t="inlineStr" s="2">
        <is>
          <t xml:space="preserve">Die Ergebnisse legen nahe, dass einige langjährige Annahmen über plasmaunterstützte Systeme unter kontrollierten Testbedingungen nicht in messbare Vorteile überführt werden können.</t>
        </is>
      </c>
      <c r="I76" t="inlineStr" s="2">
        <is>
          <t xml:space="preserve">Die im Whitepaper dargestellten Vergleichsergebnisse bieten eine strukturierte, datenbasierte Grundlage für fundierte Technologieentscheidungen.</t>
        </is>
      </c>
      <c r="J76" s="4"/>
      <c r="K76" s="2"/>
      <c r="L76" t="str" s="3">
        <f>HYPERLINK("https://www.getinge.com/de/news-und-events/neuigkeiten/gesundheitswesen/spielt-plasma-in-der-vh2o2-sterilisation-noch-eine-rolle/","/news-und-events/neuigkeiten/gesundheitswesen/spielt-plasma-in-der-vh2o2-sterilisation-noch-eine-rolle/")</f>
        <v>/news-und-events/neuigkeiten/gesundheitswesen/spielt-plasma-in-der-vh2o2-sterilisation-noch-eine-rolle/</v>
      </c>
    </row>
    <row r="77">
      <c r="A77" s="0">
        <v>76</v>
      </c>
      <c r="B77" t="str" s="3">
        <f>HYPERLINK("https://www.getinge.com/int/insights/updates/healthcare/does-plasma-still-matter-in-vh2o2-sterilization/","/insights/updates/healthcare/does-plasma-still-matter-in-vh2o2-sterilization/")</f>
        <v>/insights/updates/healthcare/does-plasma-still-matter-in-vh2o2-sterilization/</v>
      </c>
      <c r="C77" t="inlineStr" s="2">
        <is>
          <t xml:space="preserve">Download the White Paper now!</t>
        </is>
      </c>
      <c r="D77" t="inlineStr" s="2">
        <is>
          <t xml:space="preserve">Laden Sie sich jetzt das Whitepaper herunter!</t>
        </is>
      </c>
      <c r="E77" t="inlineStr" s="0">
        <is>
          <t xml:space="preserve">Medium</t>
        </is>
      </c>
      <c r="F77" s="4"/>
      <c r="G77" t="inlineStr" s="2">
        <is>
          <t xml:space="preserve">Ähnliche Artikel</t>
        </is>
      </c>
      <c r="H77" s="2"/>
      <c r="I77" s="2"/>
      <c r="J77" s="4"/>
      <c r="K77" s="2"/>
      <c r="L77" t="str" s="3">
        <f>HYPERLINK("https://www.getinge.com/de/news-und-events/neuigkeiten/gesundheitswesen/spielt-plasma-in-der-vh2o2-sterilisation-noch-eine-rolle/","/news-und-events/neuigkeiten/gesundheitswesen/spielt-plasma-in-der-vh2o2-sterilisation-noch-eine-rolle/")</f>
        <v>/news-und-events/neuigkeiten/gesundheitswesen/spielt-plasma-in-der-vh2o2-sterilisation-noch-eine-rolle/</v>
      </c>
    </row>
    <row r="78">
      <c r="A78" s="0">
        <v>77</v>
      </c>
      <c r="B78" t="str" s="3">
        <f>HYPERLINK("https://www.getinge.com/int/insights/updates/healthcare/ergonomics-in-the-operating-room/","/insights/updates/healthcare/ergonomics-in-the-operating-room/")</f>
        <v>/insights/updates/healthcare/ergonomics-in-the-operating-room/</v>
      </c>
      <c r="C78" t="inlineStr" s="2">
        <is>
          <t xml:space="preserve">Fatigue, musculoskeletal strain, and workflow disruptions remain common realities in the operating room. While these issues are often discussed in relation to individual devices, their root causes usually lie elsewhere: in how the operating room is configured as a working environment.</t>
        </is>
      </c>
      <c r="D78" t="inlineStr" s="2">
        <is>
          <t xml:space="preserve">Ermüdung, körperliche Belastung und Unterbrechungen im Ablauf gehören für viele Teams nach wie vor zum OP-Alltag. Häufig werden diese Themen im Zusammenhang mit einzelnen Geräten diskutiert. In der Praxis liegen die Ursachen jedoch oft woanders: in der Art und Weise, wie der OP als Arbeitsumgebung insgesamt gestaltet ist.</t>
        </is>
      </c>
      <c r="E78" t="inlineStr" s="0">
        <is>
          <t xml:space="preserve">Low</t>
        </is>
      </c>
      <c r="F78" s="4"/>
      <c r="G78" t="inlineStr" s="2">
        <is>
          <t xml:space="preserve">Begrenzte Verstellmöglichkeiten von Lagerungssystemen, schwer erreichbare Versorgungseinheiten oder Geräte, die Bewegungswege unterbrechen, führen dazu, dass selbst Routineabläufe immer wieder korrigiert werden müssen. Diese kleinen Unterbrechungen erscheinen in keinem Ablaufplan – summieren sich aber über die Dauer eines Eingriffs.</t>
        </is>
      </c>
      <c r="H78" t="inlineStr" s="2">
        <is>
          <t xml:space="preserve">Bilddaten suchen, Geräte über verschiedene Bedienoberflächen anpassen oder Videoverbindungen steuern – all das passiert parallel zum eigentlichen Eingriff. Diese Aufgaben kosten Aufmerksamkeit und führen immer wieder zu kleinen Unterbrechungen, die sich summieren können.</t>
        </is>
      </c>
      <c r="I78" t="inlineStr" s="2">
        <is>
          <t xml:space="preserve">Im Operationssaal greifen Lagerungssysteme, Beleuchtung, Bildgebung, digitale Anwendungen und Geräte unter Zeitdruck ineinander. Wenn dieses Zusammenspiel nicht funktioniert, müssen OP-Teams das im laufenden Eingriff ausgleichen – durch zusätzliche Bewegungen, manuelle Anpassungen und ständiges Neuorientieren. Das kostet nicht nur Kraft, sondern wirkt sich mit der Zeit auch auf Konzentration und Ablaufstabilität aus.</t>
        </is>
      </c>
      <c r="J78" s="4"/>
      <c r="K78" s="2"/>
      <c r="L78" t="str" s="3">
        <f>HYPERLINK("https://www.getinge.com/de/news-und-events/neuigkeiten/gesundheitswesen/ergonomie-im-op/","/news-und-events/neuigkeiten/gesundheitswesen/ergonomie-im-op/")</f>
        <v>/news-und-events/neuigkeiten/gesundheitswesen/ergonomie-im-op/</v>
      </c>
    </row>
    <row r="79">
      <c r="A79" s="0">
        <v>78</v>
      </c>
      <c r="B79" t="str" s="3">
        <f>HYPERLINK("https://www.getinge.com/int/insights/updates/healthcare/ergonomics-in-the-operating-room/","/insights/updates/healthcare/ergonomics-in-the-operating-room/")</f>
        <v>/insights/updates/healthcare/ergonomics-in-the-operating-room/</v>
      </c>
      <c r="C79" t="inlineStr" s="2">
        <is>
          <t xml:space="preserve">Surgical teams operate in a space where positioning systems, lighting, imaging, digital interfaces, and equipment setups must function together under time pressure. When this environment does not work together, staff compensate through additional movement, manual adjustments, and constant reorientation. Over time, this affects both physical endurance and procedural stability.</t>
        </is>
      </c>
      <c r="D79" t="inlineStr" s="2">
        <is>
          <t xml:space="preserve">Im Operationssaal greifen Lagerungssysteme, Beleuchtung, Bildgebung, digitale Anwendungen und Geräte unter Zeitdruck ineinander. Wenn dieses Zusammenspiel nicht funktioniert, müssen OP-Teams das im laufenden Eingriff ausgleichen – durch zusätzliche Bewegungen, manuelle Anpassungen und ständiges Neuorientieren. Das kostet nicht nur Kraft, sondern wirkt sich mit der Zeit auch auf Konzentration und Ablaufstabilität aus.</t>
        </is>
      </c>
      <c r="E79" t="inlineStr" s="0">
        <is>
          <t xml:space="preserve">Medium</t>
        </is>
      </c>
      <c r="F79" s="4"/>
      <c r="G79" t="inlineStr" s="2">
        <is>
          <t xml:space="preserve">Für Krankenhäuser, die einen OP modernisieren oder neu planen, ist Ergonomie daher ein wichtiger Indikator: Sie zeigt, ob der Raum um einzelne Technologien herum entwickelt wurde – oder ob er sich an den tatsächlichen Anforderungen im OP-Alltag orientiert. Dafür braucht es nicht nur die richtigen Komponenten, sondern auch ein Verständnis dafür, wie Abläufe, Infrastruktur und Technologie im täglichen Einsatz zusammenwirken.</t>
        </is>
      </c>
      <c r="H79" t="inlineStr" s="2">
        <is>
          <t xml:space="preserve">Begrenzte Verstellmöglichkeiten von Lagerungssystemen, schwer erreichbare Versorgungseinheiten oder Geräte, die Bewegungswege unterbrechen, führen dazu, dass selbst Routineabläufe immer wieder korrigiert werden müssen. Diese kleinen Unterbrechungen erscheinen in keinem Ablaufplan – summieren sich aber über die Dauer eines Eingriffs.</t>
        </is>
      </c>
      <c r="I79" t="inlineStr" s="2">
        <is>
          <t xml:space="preserve">Ermüdung, körperliche Belastung und Unterbrechungen im Ablauf gehören für viele Teams nach wie vor zum OP-Alltag. Häufig werden diese Themen im Zusammenhang mit einzelnen Geräten diskutiert. In der Praxis liegen die Ursachen jedoch oft woanders: in der Art und Weise, wie der OP als Arbeitsumgebung insgesamt gestaltet ist.</t>
        </is>
      </c>
      <c r="J79" s="4"/>
      <c r="K79" s="2"/>
      <c r="L79" t="str" s="3">
        <f>HYPERLINK("https://www.getinge.com/de/news-und-events/neuigkeiten/gesundheitswesen/ergonomie-im-op/","/news-und-events/neuigkeiten/gesundheitswesen/ergonomie-im-op/")</f>
        <v>/news-und-events/neuigkeiten/gesundheitswesen/ergonomie-im-op/</v>
      </c>
    </row>
    <row r="80">
      <c r="A80" s="0">
        <v>79</v>
      </c>
      <c r="B80" t="str" s="3">
        <f>HYPERLINK("https://www.getinge.com/int/insights/updates/healthcare/ergonomics-in-the-operating-room/","/insights/updates/healthcare/ergonomics-in-the-operating-room/")</f>
        <v>/insights/updates/healthcare/ergonomics-in-the-operating-room/</v>
      </c>
      <c r="C80" t="inlineStr" s="2">
        <is>
          <t xml:space="preserve">Ergonomics in the OR therefore depends less on individual components than on whether the environment is designed to support clinical workflows as a whole.</t>
        </is>
      </c>
      <c r="D80" t="inlineStr" s="2">
        <is>
          <t xml:space="preserve">Ergonomie im OP hängt daher weniger von einzelnen Komponenten ab als davon, ob die Umgebung so gestaltet ist, dass sie den klinischen Ablauf tatsächlich unterstützt.</t>
        </is>
      </c>
      <c r="E80" t="inlineStr" s="0">
        <is>
          <t xml:space="preserve">Medium</t>
        </is>
      </c>
      <c r="F80" s="4"/>
      <c r="G80" t="inlineStr" s="2">
        <is>
          <t xml:space="preserve">Ergonomie im OP ist kein einzelnes Produktmerkmal. Sie entsteht daraus, wie Lagerung, Beleuchtung, Geräteanordnung und digitale Infrastruktur zusammenspielen – und ob sie den klinischen Ablauf tatsächlich unterstützen.</t>
        </is>
      </c>
      <c r="H80" t="inlineStr" s="2">
        <is>
          <t xml:space="preserve">Wo dieses Zusammenspiel funktioniert, entstehen weniger Unterbrechungen und die körperliche Belastung sinkt. Wo es nicht funktioniert, müssen Teams die Lücken selbst ausgleichen.</t>
        </is>
      </c>
      <c r="I80" t="inlineStr" s="2">
        <is>
          <t xml:space="preserve">Im OP zeigt sich schnell, ob ein Raum mitdenkt oder nicht. Wenn sich Teams ständig an die Umgebung anpassen müssen, kostet das Konzentration – und am Ende auch Zeit.</t>
        </is>
      </c>
      <c r="J80" s="4"/>
      <c r="K80" s="2"/>
      <c r="L80" t="str" s="3">
        <f>HYPERLINK("https://www.getinge.com/de/news-und-events/neuigkeiten/gesundheitswesen/ergonomie-im-op/","/news-und-events/neuigkeiten/gesundheitswesen/ergonomie-im-op/")</f>
        <v>/news-und-events/neuigkeiten/gesundheitswesen/ergonomie-im-op/</v>
      </c>
    </row>
    <row r="81">
      <c r="A81" s="0">
        <v>80</v>
      </c>
      <c r="B81" t="str" s="3">
        <f>HYPERLINK("https://www.getinge.com/int/insights/updates/healthcare/ergonomics-in-the-operating-room/","/insights/updates/healthcare/ergonomics-in-the-operating-room/")</f>
        <v>/insights/updates/healthcare/ergonomics-in-the-operating-room/</v>
      </c>
      <c r="C81" t="inlineStr" s="2">
        <is>
          <t xml:space="preserve">Physical load often results from layout decisions, not workload</t>
        </is>
      </c>
      <c r="D81" t="inlineStr" s="2">
        <is>
          <t xml:space="preserve">Physische Belastung entsteht häufig durch das Raumkonzept</t>
        </is>
      </c>
      <c r="E81" t="inlineStr" s="0">
        <is>
          <t xml:space="preserve">Low</t>
        </is>
      </c>
      <c r="F81" s="4"/>
      <c r="G81" t="inlineStr" s="2">
        <is>
          <t xml:space="preserve">Ergonomie zeigt, wie gut der OP als Arbeitsumgebung funktioniert</t>
        </is>
      </c>
      <c r="H81" t="inlineStr" s="2">
        <is>
          <t xml:space="preserve">Visuelle Bedingungen beeinflussen Haltung und Konzentration</t>
        </is>
      </c>
      <c r="I81" t="inlineStr" s="2">
        <is>
          <t xml:space="preserve">Digitale Fragmentierung erzeugt unsichtbare Zusatzbelastung</t>
        </is>
      </c>
      <c r="J81" s="4"/>
      <c r="K81" s="2"/>
      <c r="L81" t="str" s="3">
        <f>HYPERLINK("https://www.getinge.com/de/news-und-events/neuigkeiten/gesundheitswesen/ergonomie-im-op/","/news-und-events/neuigkeiten/gesundheitswesen/ergonomie-im-op/")</f>
        <v>/news-und-events/neuigkeiten/gesundheitswesen/ergonomie-im-op/</v>
      </c>
    </row>
    <row r="82">
      <c r="A82" s="0">
        <v>81</v>
      </c>
      <c r="B82" t="str" s="3">
        <f>HYPERLINK("https://www.getinge.com/int/insights/updates/healthcare/ergonomics-in-the-operating-room/","/insights/updates/healthcare/ergonomics-in-the-operating-room/")</f>
        <v>/insights/updates/healthcare/ergonomics-in-the-operating-room/</v>
      </c>
      <c r="C82" t="inlineStr" s="2">
        <is>
          <t xml:space="preserve">Prolonged standing, reaching, and repositioning are part of surgical practice. What increases strain is when teams must repeatedly adapt to the room rather than the room supporting the procedure.</t>
        </is>
      </c>
      <c r="D82" t="inlineStr" s="2">
        <is>
          <t xml:space="preserve">Langes Stehen, Greifen und Umpositionieren gehört zum chirurgischen Alltag. Entscheidend ist jedoch, ob diese Bewegungen aus dem Eingriff selbst entstehen – oder ob sie notwendig sind, weil sich das Team immer wieder an die Umgebung anpassen muss.</t>
        </is>
      </c>
      <c r="E82" t="inlineStr" s="0">
        <is>
          <t xml:space="preserve">Low</t>
        </is>
      </c>
      <c r="F82" s="4"/>
      <c r="G82" t="inlineStr" s="2">
        <is>
          <t xml:space="preserve">Eine ausgewogene Beleuchtung, die das gesamte Sichtfeld einbezieht, hilft, diese Effekte zu reduzieren. Teams können dadurch länger präzise und konzentriert arbeiten, ohne ständig visuell nachregulieren zu müssen.</t>
        </is>
      </c>
      <c r="H82" t="inlineStr" s="2">
        <is>
          <t xml:space="preserve">Starke Kontraste zwischen OP-Feld und Umgebung zwingen die Augen zur ständigen Anpassung. Gerade bei längeren Eingriffen führt das zu Ermüdung – und nicht selten auch zu unbewussten Haltungsänderungen.</t>
        </is>
      </c>
      <c r="I82" t="inlineStr" s="2">
        <is>
          <t xml:space="preserve">Ergonomie im OP ist kein einzelnes Produktmerkmal. Sie entsteht daraus, wie Lagerung, Beleuchtung, Geräteanordnung und digitale Infrastruktur zusammenspielen – und ob sie den klinischen Ablauf tatsächlich unterstützen.</t>
        </is>
      </c>
      <c r="J82" s="4"/>
      <c r="K82" s="2"/>
      <c r="L82" t="str" s="3">
        <f>HYPERLINK("https://www.getinge.com/de/news-und-events/neuigkeiten/gesundheitswesen/ergonomie-im-op/","/news-und-events/neuigkeiten/gesundheitswesen/ergonomie-im-op/")</f>
        <v>/news-und-events/neuigkeiten/gesundheitswesen/ergonomie-im-op/</v>
      </c>
    </row>
    <row r="83">
      <c r="A83" s="0">
        <v>82</v>
      </c>
      <c r="B83" t="str" s="3">
        <f>HYPERLINK("https://www.getinge.com/int/insights/updates/healthcare/ergonomics-in-the-operating-room/","/insights/updates/healthcare/ergonomics-in-the-operating-room/")</f>
        <v>/insights/updates/healthcare/ergonomics-in-the-operating-room/</v>
      </c>
      <c r="C83" t="inlineStr" s="2">
        <is>
          <t xml:space="preserve">Limited adjustability of positioning systems, poorly accessible supply units, or equipment that interrupts movement paths can turn routine steps into repeated micro-corrections. These interruptions rarely appear in workflow plans but accumulate over the duration of a procedure.</t>
        </is>
      </c>
      <c r="D83" t="inlineStr" s="2">
        <is>
          <t xml:space="preserve">Begrenzte Verstellmöglichkeiten von Lagerungssystemen, schwer erreichbare Versorgungseinheiten oder Geräte, die Bewegungswege unterbrechen, führen dazu, dass selbst Routineabläufe immer wieder korrigiert werden müssen. Diese kleinen Unterbrechungen erscheinen in keinem Ablaufplan – summieren sich aber über die Dauer eines Eingriffs.</t>
        </is>
      </c>
      <c r="E83" t="inlineStr" s="0">
        <is>
          <t xml:space="preserve">Low</t>
        </is>
      </c>
      <c r="F83" s="4"/>
      <c r="G83" t="inlineStr" s="2">
        <is>
          <t xml:space="preserve">Ermüdung, körperliche Belastung und Unterbrechungen im Ablauf gehören für viele Teams nach wie vor zum OP-Alltag. Häufig werden diese Themen im Zusammenhang mit einzelnen Geräten diskutiert. In der Praxis liegen die Ursachen jedoch oft woanders: in der Art und Weise, wie der OP als Arbeitsumgebung insgesamt gestaltet ist.</t>
        </is>
      </c>
      <c r="H83" t="inlineStr" s="2">
        <is>
          <t xml:space="preserve">Bilddaten suchen, Geräte über verschiedene Bedienoberflächen anpassen oder Videoverbindungen steuern – all das passiert parallel zum eigentlichen Eingriff. Diese Aufgaben kosten Aufmerksamkeit und führen immer wieder zu kleinen Unterbrechungen, die sich summieren können.</t>
        </is>
      </c>
      <c r="I83" t="inlineStr" s="2">
        <is>
          <t xml:space="preserve">Langes Stehen, Greifen und Umpositionieren gehört zum chirurgischen Alltag. Entscheidend ist jedoch, ob diese Bewegungen aus dem Eingriff selbst entstehen – oder ob sie notwendig sind, weil sich das Team immer wieder an die Umgebung anpassen muss.</t>
        </is>
      </c>
      <c r="J83" s="4"/>
      <c r="K83" s="2"/>
      <c r="L83" t="str" s="3">
        <f>HYPERLINK("https://www.getinge.com/de/news-und-events/neuigkeiten/gesundheitswesen/ergonomie-im-op/","/news-und-events/neuigkeiten/gesundheitswesen/ergonomie-im-op/")</f>
        <v>/news-und-events/neuigkeiten/gesundheitswesen/ergonomie-im-op/</v>
      </c>
    </row>
    <row r="84">
      <c r="A84" s="0">
        <v>83</v>
      </c>
      <c r="B84" t="str" s="3">
        <f>HYPERLINK("https://www.getinge.com/int/insights/updates/healthcare/ergonomics-in-the-operating-room/","/insights/updates/healthcare/ergonomics-in-the-operating-room/")</f>
        <v>/insights/updates/healthcare/ergonomics-in-the-operating-room/</v>
      </c>
      <c r="C84" t="inlineStr" s="2">
        <is>
          <t xml:space="preserve">Operating rooms designed around procedural flow reduce this effect. When positioning, access points, and equipment placement follow the logic of the intervention, physical effort decreases and coordination becomes more predictable.</t>
        </is>
      </c>
      <c r="D84" t="inlineStr" s="2">
        <is>
          <t xml:space="preserve">Operationssäle, die sich am Ablauf orientieren, reduzieren genau diesen Effekt. Wenn Lagerung, Zugänge und Geräteplatzierung der Logik des Eingriffs folgen, wird die Arbeit ruhiger, koordinierter – und körperlich weniger belastend.</t>
        </is>
      </c>
      <c r="E84" t="inlineStr" s="0">
        <is>
          <t xml:space="preserve">Medium</t>
        </is>
      </c>
      <c r="F84" s="4"/>
      <c r="G84" t="inlineStr" s="2">
        <is>
          <t xml:space="preserve">Langes Stehen, Greifen und Umpositionieren gehört zum chirurgischen Alltag. Entscheidend ist jedoch, ob diese Bewegungen aus dem Eingriff selbst entstehen – oder ob sie notwendig sind, weil sich das Team immer wieder an die Umgebung anpassen muss.</t>
        </is>
      </c>
      <c r="H84" t="inlineStr" s="2">
        <is>
          <t xml:space="preserve">Bilddaten suchen, Geräte über verschiedene Bedienoberflächen anpassen oder Videoverbindungen steuern – all das passiert parallel zum eigentlichen Eingriff. Diese Aufgaben kosten Aufmerksamkeit und führen immer wieder zu kleinen Unterbrechungen, die sich summieren können.</t>
        </is>
      </c>
      <c r="I84" t="inlineStr" s="2">
        <is>
          <t xml:space="preserve">Eine ausgewogene Beleuchtung, die das gesamte Sichtfeld einbezieht, hilft, diese Effekte zu reduzieren. Teams können dadurch länger präzise und konzentriert arbeiten, ohne ständig visuell nachregulieren zu müssen.</t>
        </is>
      </c>
      <c r="J84" s="4"/>
      <c r="K84" s="2"/>
      <c r="L84" t="str" s="3">
        <f>HYPERLINK("https://www.getinge.com/de/news-und-events/neuigkeiten/gesundheitswesen/ergonomie-im-op/","/news-und-events/neuigkeiten/gesundheitswesen/ergonomie-im-op/")</f>
        <v>/news-und-events/neuigkeiten/gesundheitswesen/ergonomie-im-op/</v>
      </c>
    </row>
    <row r="85">
      <c r="A85" s="0">
        <v>84</v>
      </c>
      <c r="B85" t="str" s="3">
        <f>HYPERLINK("https://www.getinge.com/int/insights/updates/healthcare/ergonomics-in-the-operating-room/","/insights/updates/healthcare/ergonomics-in-the-operating-room/")</f>
        <v>/insights/updates/healthcare/ergonomics-in-the-operating-room/</v>
      </c>
      <c r="C85" t="inlineStr" s="2">
        <is>
          <t xml:space="preserve">Visual conditions influence posture and concentration</t>
        </is>
      </c>
      <c r="D85" t="inlineStr" s="2">
        <is>
          <t xml:space="preserve">Visuelle Bedingungen beeinflussen Haltung und Konzentration</t>
        </is>
      </c>
      <c r="E85" t="inlineStr" s="0">
        <is>
          <t xml:space="preserve">High</t>
        </is>
      </c>
      <c r="F85" s="4"/>
      <c r="G85" t="inlineStr" s="2">
        <is>
          <t xml:space="preserve">Physische Belastung entsteht häufig durch das Raumkonzept</t>
        </is>
      </c>
      <c r="H85" t="inlineStr" s="2">
        <is>
          <t xml:space="preserve">Digitale Fragmentierung erzeugt unsichtbare Zusatzbelastung</t>
        </is>
      </c>
      <c r="I85" t="inlineStr" s="2">
        <is>
          <t xml:space="preserve">Ergonomie zeigt, wie gut der OP als Arbeitsumgebung funktioniert</t>
        </is>
      </c>
      <c r="J85" s="4"/>
      <c r="K85" s="2"/>
      <c r="L85" t="str" s="3">
        <f>HYPERLINK("https://www.getinge.com/de/news-und-events/neuigkeiten/gesundheitswesen/ergonomie-im-op/","/news-und-events/neuigkeiten/gesundheitswesen/ergonomie-im-op/")</f>
        <v>/news-und-events/neuigkeiten/gesundheitswesen/ergonomie-im-op/</v>
      </c>
    </row>
    <row r="86">
      <c r="A86" s="0">
        <v>85</v>
      </c>
      <c r="B86" t="str" s="3">
        <f>HYPERLINK("https://www.getinge.com/int/insights/updates/healthcare/ergonomics-in-the-operating-room/","/insights/updates/healthcare/ergonomics-in-the-operating-room/")</f>
        <v>/insights/updates/healthcare/ergonomics-in-the-operating-room/</v>
      </c>
      <c r="C86" t="inlineStr" s="2">
        <is>
          <t xml:space="preserve">Lighting in the OR is often evaluated in terms of brightness and coverage. Equally relevant is how lighting supports visual stability over time. Strong contrast between the surgical field and surrounding areas forces the eyes to constantly adapt. This contributes to fatigue and often leads to compensatory posture changes during longer procedures.</t>
        </is>
      </c>
      <c r="D86" s="2"/>
      <c r="F86" s="4"/>
      <c r="G86" t="inlineStr" s="2">
        <is>
          <t xml:space="preserve">Für Krankenhäuser, die einen OP modernisieren oder neu planen, ist Ergonomie daher ein wichtiger Indikator: Sie zeigt, ob der Raum um einzelne Technologien herum entwickelt wurde – oder ob er sich an den tatsächlichen Anforderungen im OP-Alltag orientiert. Dafür braucht es nicht nur die richtigen Komponenten, sondern auch ein Verständnis dafür, wie Abläufe, Infrastruktur und Technologie im täglichen Einsatz zusammenwirken.</t>
        </is>
      </c>
      <c r="H86" t="inlineStr" s="2">
        <is>
          <t xml:space="preserve">Im Operationssaal greifen Lagerungssysteme, Beleuchtung, Bildgebung, digitale Anwendungen und Geräte unter Zeitdruck ineinander. Wenn dieses Zusammenspiel nicht funktioniert, müssen OP-Teams das im laufenden Eingriff ausgleichen – durch zusätzliche Bewegungen, manuelle Anpassungen und ständiges Neuorientieren. Das kostet nicht nur Kraft, sondern wirkt sich mit der Zeit auch auf Konzentration und Ablaufstabilität aus.</t>
        </is>
      </c>
      <c r="I86" t="inlineStr" s="2">
        <is>
          <t xml:space="preserve">Begrenzte Verstellmöglichkeiten von Lagerungssystemen, schwer erreichbare Versorgungseinheiten oder Geräte, die Bewegungswege unterbrechen, führen dazu, dass selbst Routineabläufe immer wieder korrigiert werden müssen. Diese kleinen Unterbrechungen erscheinen in keinem Ablaufplan – summieren sich aber über die Dauer eines Eingriffs.</t>
        </is>
      </c>
      <c r="J86" s="4"/>
      <c r="K86" s="2"/>
      <c r="L86" t="str" s="3">
        <f>HYPERLINK("https://www.getinge.com/de/news-und-events/neuigkeiten/gesundheitswesen/ergonomie-im-op/","/news-und-events/neuigkeiten/gesundheitswesen/ergonomie-im-op/")</f>
        <v>/news-und-events/neuigkeiten/gesundheitswesen/ergonomie-im-op/</v>
      </c>
    </row>
    <row r="87">
      <c r="A87" s="0">
        <v>86</v>
      </c>
      <c r="B87" t="str" s="3">
        <f>HYPERLINK("https://www.getinge.com/int/insights/updates/healthcare/ergonomics-in-the-operating-room/","/insights/updates/healthcare/ergonomics-in-the-operating-room/")</f>
        <v>/insights/updates/healthcare/ergonomics-in-the-operating-room/</v>
      </c>
      <c r="C87" t="inlineStr" s="2">
        <is>
          <t xml:space="preserve">Balanced illumination that considers the entire visual field helps maintain stable perception and reduces this secondary strain. In practice, visual ergonomics directly influences how long teams can maintain precise and controlled work.</t>
        </is>
      </c>
      <c r="D87" t="inlineStr" s="2">
        <is>
          <t xml:space="preserve">Eine ausgewogene Beleuchtung, die das gesamte Sichtfeld einbezieht, hilft, diese Effekte zu reduzieren. Teams können dadurch länger präzise und konzentriert arbeiten, ohne ständig visuell nachregulieren zu müssen.</t>
        </is>
      </c>
      <c r="E87" t="inlineStr" s="0">
        <is>
          <t xml:space="preserve">Low</t>
        </is>
      </c>
      <c r="F87" s="4"/>
      <c r="G87" t="inlineStr" s="2">
        <is>
          <t xml:space="preserve">Langes Stehen, Greifen und Umpositionieren gehört zum chirurgischen Alltag. Entscheidend ist jedoch, ob diese Bewegungen aus dem Eingriff selbst entstehen – oder ob sie notwendig sind, weil sich das Team immer wieder an die Umgebung anpassen muss.</t>
        </is>
      </c>
      <c r="H87" t="inlineStr" s="2">
        <is>
          <t xml:space="preserve">Operationssäle, die sich am Ablauf orientieren, reduzieren genau diesen Effekt. Wenn Lagerung, Zugänge und Geräteplatzierung der Logik des Eingriffs folgen, wird die Arbeit ruhiger, koordinierter – und körperlich weniger belastend.</t>
        </is>
      </c>
      <c r="I87" t="inlineStr" s="2">
        <is>
          <t xml:space="preserve">Bilddaten suchen, Geräte über verschiedene Bedienoberflächen anpassen oder Videoverbindungen steuern – all das passiert parallel zum eigentlichen Eingriff. Diese Aufgaben kosten Aufmerksamkeit und führen immer wieder zu kleinen Unterbrechungen, die sich summieren können.</t>
        </is>
      </c>
      <c r="J87" s="4"/>
      <c r="K87" s="2"/>
      <c r="L87" t="str" s="3">
        <f>HYPERLINK("https://www.getinge.com/de/news-und-events/neuigkeiten/gesundheitswesen/ergonomie-im-op/","/news-und-events/neuigkeiten/gesundheitswesen/ergonomie-im-op/")</f>
        <v>/news-und-events/neuigkeiten/gesundheitswesen/ergonomie-im-op/</v>
      </c>
    </row>
    <row r="88">
      <c r="A88" s="0">
        <v>87</v>
      </c>
      <c r="B88" t="str" s="3">
        <f>HYPERLINK("https://www.getinge.com/int/insights/updates/healthcare/ergonomics-in-the-operating-room/","/insights/updates/healthcare/ergonomics-in-the-operating-room/")</f>
        <v>/insights/updates/healthcare/ergonomics-in-the-operating-room/</v>
      </c>
      <c r="C88" t="inlineStr" s="2">
        <is>
          <t xml:space="preserve">Digital fragmentation creates invisible workload</t>
        </is>
      </c>
      <c r="D88" t="inlineStr" s="2">
        <is>
          <t xml:space="preserve">Digitale Fragmentierung erzeugt unsichtbare Zusatzbelastung</t>
        </is>
      </c>
      <c r="E88" t="inlineStr" s="0">
        <is>
          <t xml:space="preserve">Medium</t>
        </is>
      </c>
      <c r="F88" s="4"/>
      <c r="G88" t="inlineStr" s="2">
        <is>
          <t xml:space="preserve">Physische Belastung entsteht häufig durch das Raumkonzept</t>
        </is>
      </c>
      <c r="H88" t="inlineStr" s="2">
        <is>
          <t xml:space="preserve">Visuelle Bedingungen beeinflussen Haltung und Konzentration</t>
        </is>
      </c>
      <c r="I88" t="inlineStr" s="2">
        <is>
          <t xml:space="preserve">Ergonomie zeigt, wie gut der OP als Arbeitsumgebung funktioniert</t>
        </is>
      </c>
      <c r="J88" s="4"/>
      <c r="K88" s="2"/>
      <c r="L88" t="str" s="3">
        <f>HYPERLINK("https://www.getinge.com/de/news-und-events/neuigkeiten/gesundheitswesen/ergonomie-im-op/","/news-und-events/neuigkeiten/gesundheitswesen/ergonomie-im-op/")</f>
        <v>/news-und-events/neuigkeiten/gesundheitswesen/ergonomie-im-op/</v>
      </c>
    </row>
    <row r="89">
      <c r="A89" s="0">
        <v>88</v>
      </c>
      <c r="B89" t="str" s="3">
        <f>HYPERLINK("https://www.getinge.com/int/insights/updates/healthcare/ergonomics-in-the-operating-room/","/insights/updates/healthcare/ergonomics-in-the-operating-room/")</f>
        <v>/insights/updates/healthcare/ergonomics-in-the-operating-room/</v>
      </c>
      <c r="C89" t="inlineStr" s="2">
        <is>
          <t xml:space="preserve">As digital technologies expand in the OR, the number of interfaces, displays, and data sources continues to grow. When these systems operate independently, staff must coordinate them manually.</t>
        </is>
      </c>
      <c r="D89" t="inlineStr" s="2">
        <is>
          <t xml:space="preserve">Mit der zunehmenden Digitalisierung im OP steigt auch die Anzahl an Systemen, Displays und Datenquellen. Wenn diese nicht miteinander integriert sind, entsteht ein zusätzlicher Aufwand, der im Alltag oft unterschätzt wird.</t>
        </is>
      </c>
      <c r="E89" t="inlineStr" s="0">
        <is>
          <t xml:space="preserve">Medium</t>
        </is>
      </c>
      <c r="F89" s="4"/>
      <c r="G89" t="inlineStr" s="2">
        <is>
          <t xml:space="preserve">Operationssäle, die sich am Ablauf orientieren, reduzieren genau diesen Effekt. Wenn Lagerung, Zugänge und Geräteplatzierung der Logik des Eingriffs folgen, wird die Arbeit ruhiger, koordinierter – und körperlich weniger belastend.</t>
        </is>
      </c>
      <c r="H89" t="inlineStr" s="2">
        <is>
          <t xml:space="preserve">Ergonomie im OP ist kein einzelnes Produktmerkmal. Sie entsteht daraus, wie Lagerung, Beleuchtung, Geräteanordnung und digitale Infrastruktur zusammenspielen – und ob sie den klinischen Ablauf tatsächlich unterstützen.</t>
        </is>
      </c>
      <c r="I89" t="inlineStr" s="2">
        <is>
          <t xml:space="preserve">Starke Kontraste zwischen OP-Feld und Umgebung zwingen die Augen zur ständigen Anpassung. Gerade bei längeren Eingriffen führt das zu Ermüdung – und nicht selten auch zu unbewussten Haltungsänderungen.</t>
        </is>
      </c>
      <c r="J89" s="4"/>
      <c r="K89" s="2"/>
      <c r="L89" t="str" s="3">
        <f>HYPERLINK("https://www.getinge.com/de/news-und-events/neuigkeiten/gesundheitswesen/ergonomie-im-op/","/news-und-events/neuigkeiten/gesundheitswesen/ergonomie-im-op/")</f>
        <v>/news-und-events/neuigkeiten/gesundheitswesen/ergonomie-im-op/</v>
      </c>
    </row>
    <row r="90">
      <c r="A90" s="0">
        <v>89</v>
      </c>
      <c r="B90" t="str" s="3">
        <f>HYPERLINK("https://www.getinge.com/int/insights/updates/healthcare/ergonomics-in-the-operating-room/","/insights/updates/healthcare/ergonomics-in-the-operating-room/")</f>
        <v>/insights/updates/healthcare/ergonomics-in-the-operating-room/</v>
      </c>
      <c r="C90" t="inlineStr" s="2">
        <is>
          <t xml:space="preserve">Searching for imaging data, adjusting devices across multiple control panels, or managing video routing during a procedure introduces interruptions that are rarely accounted for in time planning. These tasks consume attention and increase the likelihood of delays or errors.</t>
        </is>
      </c>
      <c r="D90" s="2"/>
      <c r="F90" s="4"/>
      <c r="G90" t="inlineStr" s="2">
        <is>
          <t xml:space="preserve">Begrenzte Verstellmöglichkeiten von Lagerungssystemen, schwer erreichbare Versorgungseinheiten oder Geräte, die Bewegungswege unterbrechen, führen dazu, dass selbst Routineabläufe immer wieder korrigiert werden müssen. Diese kleinen Unterbrechungen erscheinen in keinem Ablaufplan – summieren sich aber über die Dauer eines Eingriffs.</t>
        </is>
      </c>
      <c r="H90" t="inlineStr" s="2">
        <is>
          <t xml:space="preserve">Ermüdung, körperliche Belastung und Unterbrechungen im Ablauf gehören für viele Teams nach wie vor zum OP-Alltag. Häufig werden diese Themen im Zusammenhang mit einzelnen Geräten diskutiert. In der Praxis liegen die Ursachen jedoch oft woanders: in der Art und Weise, wie der OP als Arbeitsumgebung insgesamt gestaltet ist.</t>
        </is>
      </c>
      <c r="I90" t="inlineStr" s="2">
        <is>
          <t xml:space="preserve">Bilddaten suchen, Geräte über verschiedene Bedienoberflächen anpassen oder Videoverbindungen steuern – all das passiert parallel zum eigentlichen Eingriff. Diese Aufgaben kosten Aufmerksamkeit und führen immer wieder zu kleinen Unterbrechungen, die sich summieren können.</t>
        </is>
      </c>
      <c r="J90" s="4"/>
      <c r="K90" s="2"/>
      <c r="L90" t="str" s="3">
        <f>HYPERLINK("https://www.getinge.com/de/news-und-events/neuigkeiten/gesundheitswesen/ergonomie-im-op/","/news-und-events/neuigkeiten/gesundheitswesen/ergonomie-im-op/")</f>
        <v>/news-und-events/neuigkeiten/gesundheitswesen/ergonomie-im-op/</v>
      </c>
    </row>
    <row r="91">
      <c r="A91" s="0">
        <v>90</v>
      </c>
      <c r="B91" t="str" s="3">
        <f>HYPERLINK("https://www.getinge.com/int/insights/updates/healthcare/ergonomics-in-the-operating-room/","/insights/updates/healthcare/ergonomics-in-the-operating-room/")</f>
        <v>/insights/updates/healthcare/ergonomics-in-the-operating-room/</v>
      </c>
      <c r="C91" t="inlineStr" s="2">
        <is>
          <t xml:space="preserve">Environments that centralize control and data access reduce this hidden workload. They allow teams to maintain procedural focus rather than shifting attention to system management.</t>
        </is>
      </c>
      <c r="D91" t="inlineStr" s="2">
        <is>
          <t xml:space="preserve">Umgebungen, in denen Steuerung und Datenzugriff gebündelt sind, reduzieren diese zusätzliche Belastung. Sie helfen dabei, den Fokus dort zu halten, wo er hingehört: beim Patienten und beim Eingriff.</t>
        </is>
      </c>
      <c r="E91" t="inlineStr" s="0">
        <is>
          <t xml:space="preserve">Low</t>
        </is>
      </c>
      <c r="F91" s="4"/>
      <c r="G91" t="inlineStr" s="2">
        <is>
          <t xml:space="preserve">Eine ausgewogene Beleuchtung, die das gesamte Sichtfeld einbezieht, hilft, diese Effekte zu reduzieren. Teams können dadurch länger präzise und konzentriert arbeiten, ohne ständig visuell nachregulieren zu müssen.</t>
        </is>
      </c>
      <c r="H91" t="inlineStr" s="2">
        <is>
          <t xml:space="preserve">Starke Kontraste zwischen OP-Feld und Umgebung zwingen die Augen zur ständigen Anpassung. Gerade bei längeren Eingriffen führt das zu Ermüdung – und nicht selten auch zu unbewussten Haltungsänderungen.</t>
        </is>
      </c>
      <c r="I91" t="inlineStr" s="2">
        <is>
          <t xml:space="preserve">Mit der zunehmenden Digitalisierung im OP steigt auch die Anzahl an Systemen, Displays und Datenquellen. Wenn diese nicht miteinander integriert sind, entsteht ein zusätzlicher Aufwand, der im Alltag oft unterschätzt wird.</t>
        </is>
      </c>
      <c r="J91" s="4"/>
      <c r="K91" s="2"/>
      <c r="L91" t="str" s="3">
        <f>HYPERLINK("https://www.getinge.com/de/news-und-events/neuigkeiten/gesundheitswesen/ergonomie-im-op/","/news-und-events/neuigkeiten/gesundheitswesen/ergonomie-im-op/")</f>
        <v>/news-und-events/neuigkeiten/gesundheitswesen/ergonomie-im-op/</v>
      </c>
    </row>
    <row r="92">
      <c r="A92" s="0">
        <v>91</v>
      </c>
      <c r="B92" t="str" s="3">
        <f>HYPERLINK("https://www.getinge.com/int/insights/updates/healthcare/ergonomics-in-the-operating-room/","/insights/updates/healthcare/ergonomics-in-the-operating-room/")</f>
        <v>/insights/updates/healthcare/ergonomics-in-the-operating-room/</v>
      </c>
      <c r="C92" t="inlineStr" s="2">
        <is>
          <t xml:space="preserve">Ergonomics reveals how well the OR functions as a working environment</t>
        </is>
      </c>
      <c r="D92" t="inlineStr" s="2">
        <is>
          <t xml:space="preserve">Ergonomie zeigt, wie gut der OP als Arbeitsumgebung funktioniert</t>
        </is>
      </c>
      <c r="E92" t="inlineStr" s="0">
        <is>
          <t xml:space="preserve">Medium</t>
        </is>
      </c>
      <c r="F92" s="4"/>
      <c r="G92" t="inlineStr" s="2">
        <is>
          <t xml:space="preserve">Visuelle Bedingungen beeinflussen Haltung und Konzentration</t>
        </is>
      </c>
      <c r="H92" t="inlineStr" s="2">
        <is>
          <t xml:space="preserve">Digitale Fragmentierung erzeugt unsichtbare Zusatzbelastung</t>
        </is>
      </c>
      <c r="I92" t="inlineStr" s="2">
        <is>
          <t xml:space="preserve">Physische Belastung entsteht häufig durch das Raumkonzept</t>
        </is>
      </c>
      <c r="J92" s="4"/>
      <c r="K92" s="2"/>
      <c r="L92" t="str" s="3">
        <f>HYPERLINK("https://www.getinge.com/de/news-und-events/neuigkeiten/gesundheitswesen/ergonomie-im-op/","/news-und-events/neuigkeiten/gesundheitswesen/ergonomie-im-op/")</f>
        <v>/news-und-events/neuigkeiten/gesundheitswesen/ergonomie-im-op/</v>
      </c>
    </row>
    <row r="93">
      <c r="A93" s="0">
        <v>92</v>
      </c>
      <c r="B93" t="str" s="3">
        <f>HYPERLINK("https://www.getinge.com/int/insights/updates/healthcare/ergonomics-in-the-operating-room/","/insights/updates/healthcare/ergonomics-in-the-operating-room/")</f>
        <v>/insights/updates/healthcare/ergonomics-in-the-operating-room/</v>
      </c>
      <c r="C93" t="inlineStr" s="2">
        <is>
          <t xml:space="preserve">Ergonomic performance in the operating room is not primarily a product feature. It is the outcome of how positioning, lighting, equipment layout, and digital infrastructure are aligned with clinical workflow. Where these elements support each other, teams can experience fewer interruptions, reduced physical strain. Where they do not, staff bridge the gaps themselves.</t>
        </is>
      </c>
      <c r="D93" s="2"/>
      <c r="F93" s="4"/>
      <c r="G93" t="inlineStr" s="2">
        <is>
          <t xml:space="preserve">Im Operationssaal greifen Lagerungssysteme, Beleuchtung, Bildgebung, digitale Anwendungen und Geräte unter Zeitdruck ineinander. Wenn dieses Zusammenspiel nicht funktioniert, müssen OP-Teams das im laufenden Eingriff ausgleichen – durch zusätzliche Bewegungen, manuelle Anpassungen und ständiges Neuorientieren. Das kostet nicht nur Kraft, sondern wirkt sich mit der Zeit auch auf Konzentration und Ablaufstabilität aus.</t>
        </is>
      </c>
      <c r="H93" t="inlineStr" s="2">
        <is>
          <t xml:space="preserve">Für Krankenhäuser, die einen OP modernisieren oder neu planen, ist Ergonomie daher ein wichtiger Indikator: Sie zeigt, ob der Raum um einzelne Technologien herum entwickelt wurde – oder ob er sich an den tatsächlichen Anforderungen im OP-Alltag orientiert. Dafür braucht es nicht nur die richtigen Komponenten, sondern auch ein Verständnis dafür, wie Abläufe, Infrastruktur und Technologie im täglichen Einsatz zusammenwirken.</t>
        </is>
      </c>
      <c r="I93" t="inlineStr" s="2">
        <is>
          <t xml:space="preserve">Begrenzte Verstellmöglichkeiten von Lagerungssystemen, schwer erreichbare Versorgungseinheiten oder Geräte, die Bewegungswege unterbrechen, führen dazu, dass selbst Routineabläufe immer wieder korrigiert werden müssen. Diese kleinen Unterbrechungen erscheinen in keinem Ablaufplan – summieren sich aber über die Dauer eines Eingriffs.</t>
        </is>
      </c>
      <c r="J93" s="4"/>
      <c r="K93" s="2"/>
      <c r="L93" t="str" s="3">
        <f>HYPERLINK("https://www.getinge.com/de/news-und-events/neuigkeiten/gesundheitswesen/ergonomie-im-op/","/news-und-events/neuigkeiten/gesundheitswesen/ergonomie-im-op/")</f>
        <v>/news-und-events/neuigkeiten/gesundheitswesen/ergonomie-im-op/</v>
      </c>
    </row>
    <row r="94">
      <c r="A94" s="0">
        <v>93</v>
      </c>
      <c r="B94" t="str" s="3">
        <f>HYPERLINK("https://www.getinge.com/int/insights/updates/healthcare/ergonomics-in-the-operating-room/","/insights/updates/healthcare/ergonomics-in-the-operating-room/")</f>
        <v>/insights/updates/healthcare/ergonomics-in-the-operating-room/</v>
      </c>
      <c r="C94" t="inlineStr" s="2">
        <is>
          <t xml:space="preserve">For hospitals planning OR upgrades or new installations, ergonomics therefore provides a useful indicator: it shows whether the room has been designed around individual technologies or around the realities of surgical work. Achieving this requires not only selecting the right components, but working with partners who understand how surgical workflow, infrastructure, and technology interact in daily practice.</t>
        </is>
      </c>
      <c r="D94" t="inlineStr" s="2">
        <is>
          <t xml:space="preserve">Für Krankenhäuser, die einen OP modernisieren oder neu planen, ist Ergonomie daher ein wichtiger Indikator: Sie zeigt, ob der Raum um einzelne Technologien herum entwickelt wurde – oder ob er sich an den tatsächlichen Anforderungen im OP-Alltag orientiert. Dafür braucht es nicht nur die richtigen Komponenten, sondern auch ein Verständnis dafür, wie Abläufe, Infrastruktur und Technologie im täglichen Einsatz zusammenwirken.</t>
        </is>
      </c>
      <c r="E94" t="inlineStr" s="0">
        <is>
          <t xml:space="preserve">Medium</t>
        </is>
      </c>
      <c r="F94" s="4"/>
      <c r="G94" t="inlineStr" s="2">
        <is>
          <t xml:space="preserve">Im Operationssaal greifen Lagerungssysteme, Beleuchtung, Bildgebung, digitale Anwendungen und Geräte unter Zeitdruck ineinander. Wenn dieses Zusammenspiel nicht funktioniert, müssen OP-Teams das im laufenden Eingriff ausgleichen – durch zusätzliche Bewegungen, manuelle Anpassungen und ständiges Neuorientieren. Das kostet nicht nur Kraft, sondern wirkt sich mit der Zeit auch auf Konzentration und Ablaufstabilität aus.</t>
        </is>
      </c>
      <c r="H94" t="inlineStr" s="2">
        <is>
          <t xml:space="preserve">Begrenzte Verstellmöglichkeiten von Lagerungssystemen, schwer erreichbare Versorgungseinheiten oder Geräte, die Bewegungswege unterbrechen, führen dazu, dass selbst Routineabläufe immer wieder korrigiert werden müssen. Diese kleinen Unterbrechungen erscheinen in keinem Ablaufplan – summieren sich aber über die Dauer eines Eingriffs.</t>
        </is>
      </c>
      <c r="I94" t="inlineStr" s="2">
        <is>
          <t xml:space="preserve">Ermüdung, körperliche Belastung und Unterbrechungen im Ablauf gehören für viele Teams nach wie vor zum OP-Alltag. Häufig werden diese Themen im Zusammenhang mit einzelnen Geräten diskutiert. In der Praxis liegen die Ursachen jedoch oft woanders: in der Art und Weise, wie der OP als Arbeitsumgebung insgesamt gestaltet ist.</t>
        </is>
      </c>
      <c r="J94" s="4"/>
      <c r="K94" s="2"/>
      <c r="L94" t="str" s="3">
        <f>HYPERLINK("https://www.getinge.com/de/news-und-events/neuigkeiten/gesundheitswesen/ergonomie-im-op/","/news-und-events/neuigkeiten/gesundheitswesen/ergonomie-im-op/")</f>
        <v>/news-und-events/neuigkeiten/gesundheitswesen/ergonomie-im-op/</v>
      </c>
    </row>
    <row r="95">
      <c r="A95" s="0">
        <v>94</v>
      </c>
      <c r="B95" t="str" s="3">
        <f>HYPERLINK("https://www.getinge.com/int/insights/updates/healthcare/gentler-ventilation-strategies-for-newborns/","/insights/updates/healthcare/gentler-ventilation-strategies-for-newborns/")</f>
        <v>/insights/updates/healthcare/gentler-ventilation-strategies-for-newborns/</v>
      </c>
      <c r="C95" t="inlineStr" s="2">
        <is>
          <t xml:space="preserve">Respiratory failure is one of the main reasons for admission to neonatal and pediatric intensive care units. Many patients experience complications related to mechanical ventilation.</t>
        </is>
      </c>
      <c r="D95" t="inlineStr" s="2">
        <is>
          <t xml:space="preserve">Atemversagen ist einer der Hauptgründe für die Aufnahme in Neugeborenen- und Kinder-Intensivstationen. Bei vielen der Patienten treten Komplikationen im Zusammenhang mit der mechanischen Beatmung auf.</t>
        </is>
      </c>
      <c r="E95" t="inlineStr" s="0">
        <is>
          <t xml:space="preserve">Medium</t>
        </is>
      </c>
      <c r="F95" s="4"/>
      <c r="G95" t="inlineStr" s="2">
        <is>
          <t xml:space="preserve">Kallio M, Peltoniemi O, Anila E, Pokka T, Kontiokari T. Neurally Adjusted Ventilatory Assist (NAVA) in Pediatric Intensive Care – A Randomized Controlled Trial. Pediatr Pulmonol. Jan. 2015;50(1):55-62.</t>
        </is>
      </c>
      <c r="H95" t="inlineStr" s="2">
        <is>
          <t xml:space="preserve">Daher gibt es einen allgemeinen Trend hin zu einem schonenderen Beatmungsansatz, mit dem negative Folgen wie beatmungsbedingte Pneumonien (VAP) und beatmungsbedingte Lungenschädigungen (VILI) reduziert werden können.</t>
        </is>
      </c>
      <c r="I95" t="inlineStr" s="2">
        <is>
          <t xml:space="preserve">Aus diesen Gründen wurden das Edi-Monitoring und das Konzept der neural regulierten Beatmungsunterstützung (Neurally Adjusted Ventilatory Assist, NAVA) entwickelt: Der eigene neuronale Atemantrieb des Patienten wird zur Steuerung des Beatmungsgeräts verwendet.</t>
        </is>
      </c>
      <c r="J95" s="4"/>
      <c r="K95" s="2"/>
      <c r="L95" t="str" s="3">
        <f>HYPERLINK("https://www.getinge.com/de/news-und-events/neuigkeiten/gesundheitswesen/Schonendere-Beatmungsstrategien-fuer-Neugeborene/","/news-und-events/neuigkeiten/gesundheitswesen/Schonendere-Beatmungsstrategien-fuer-Neugeborene/")</f>
        <v>/news-und-events/neuigkeiten/gesundheitswesen/Schonendere-Beatmungsstrategien-fuer-Neugeborene/</v>
      </c>
    </row>
    <row r="96">
      <c r="A96" s="0">
        <v>95</v>
      </c>
      <c r="B96" t="str" s="3">
        <f>HYPERLINK("https://www.getinge.com/int/insights/updates/healthcare/gentler-ventilation-strategies-for-newborns/","/insights/updates/healthcare/gentler-ventilation-strategies-for-newborns/")</f>
        <v>/insights/updates/healthcare/gentler-ventilation-strategies-for-newborns/</v>
      </c>
      <c r="C96" t="inlineStr" s="2">
        <is>
          <t xml:space="preserve">Therefore, there is a general trend toward a gentler ventilation approach that can reduce adverse effects such as ventilator-associated pneumonia (VAP) and ventilator-induced lung injury (VILI).</t>
        </is>
      </c>
      <c r="D96" t="inlineStr" s="2">
        <is>
          <t xml:space="preserve">Daher gibt es einen allgemeinen Trend hin zu einem schonenderen Beatmungsansatz, mit dem negative Folgen wie beatmungsbedingte Pneumonien (VAP) und beatmungsbedingte Lungenschädigungen (VILI) reduziert werden können.</t>
        </is>
      </c>
      <c r="E96" t="inlineStr" s="0">
        <is>
          <t xml:space="preserve">Medium</t>
        </is>
      </c>
      <c r="F96" s="4"/>
      <c r="G96" t="inlineStr" s="2">
        <is>
          <t xml:space="preserve">Aus diesen Gründen wurden das Edi-Monitoring und das Konzept der neural regulierten Beatmungsunterstützung (Neurally Adjusted Ventilatory Assist, NAVA) entwickelt: Der eigene neuronale Atemantrieb des Patienten wird zur Steuerung des Beatmungsgeräts verwendet.</t>
        </is>
      </c>
      <c r="H96" t="inlineStr" s="2">
        <is>
          <t xml:space="preserve">Atemversagen ist einer der Hauptgründe für die Aufnahme in Neugeborenen- und Kinder-Intensivstationen. Bei vielen der Patienten treten Komplikationen im Zusammenhang mit der mechanischen Beatmung auf.</t>
        </is>
      </c>
      <c r="I96" t="inlineStr" s="2">
        <is>
          <t xml:space="preserve">Lee J, Kim HS, Jung YH, Shin SH, Choi CW, Kim EK, Kim BI, Choi JH. Non-invasive neurally adjusted ventilatory assist in preterm infants: a randomised phase II crossover trial. Arch Dis Child Fetal Neonatal Ed. 2015 Nov;100(6):F507-13.</t>
        </is>
      </c>
      <c r="J96" s="4"/>
      <c r="K96" s="2"/>
      <c r="L96" t="str" s="3">
        <f>HYPERLINK("https://www.getinge.com/de/news-und-events/neuigkeiten/gesundheitswesen/Schonendere-Beatmungsstrategien-fuer-Neugeborene/","/news-und-events/neuigkeiten/gesundheitswesen/Schonendere-Beatmungsstrategien-fuer-Neugeborene/")</f>
        <v>/news-und-events/neuigkeiten/gesundheitswesen/Schonendere-Beatmungsstrategien-fuer-Neugeborene/</v>
      </c>
    </row>
    <row r="97">
      <c r="A97" s="0">
        <v>96</v>
      </c>
      <c r="B97" t="str" s="3">
        <f>HYPERLINK("https://www.getinge.com/int/insights/updates/healthcare/gentler-ventilation-strategies-for-newborns/","/insights/updates/healthcare/gentler-ventilation-strategies-for-newborns/")</f>
        <v>/insights/updates/healthcare/gentler-ventilation-strategies-for-newborns/</v>
      </c>
      <c r="C97" t="inlineStr" s="2">
        <is>
          <t xml:space="preserve">Non-invasive ventilation (NIV) aims to minimize these complications while supporting the patient's own breathing. However, it is particularly challenging to adapt NIV to the needs of infants and children: small tidal volumes and high respiratory rates, especially in the presence of leaks, disrupt the synchrony between the patient and the ventilator. Leaks also lead to unreliable monitoring of respiratory drive and respiratory rate.</t>
        </is>
      </c>
      <c r="D97" t="inlineStr" s="2">
        <is>
          <t xml:space="preserve">Die nicht-invasive Beatmung (NIV) zielt darauf ab, diese Komplikationen zu minimieren und gleichzeitig die Atmung des Patienten zu unterstützen. Es ist aus mehreren Gründen besonders bei Kindern schwierig, NIV an die Bedürfnisse des Patienten anzupassen: Vor allem kleine Tidalvolumina und hohe Atemfrequenzen, insbesondere bei Leckagen, stören die Synchronität von Patient und Beatmungsgerät. Undichtigkeiten führen zudem zu einer unzuverlässigen Überwachung des Atemantriebs und der Atemfrequenz.</t>
        </is>
      </c>
      <c r="E97" t="inlineStr" s="0">
        <is>
          <t xml:space="preserve">Medium</t>
        </is>
      </c>
      <c r="F97" s="4"/>
      <c r="G97" t="inlineStr" s="2">
        <is>
          <t xml:space="preserve">Mit NAVA und NIV-NAVA können Neugeborene ihre Beatmung selbst steuern. Durch die Verwendung des neuralen Triggers steuert nicht das Beatmungsgerät, sondern der Patient die Einleitung und Beendigung des Atemzugs, die Größe des Atemzugs, die Einatmungszeit, die Atemfrequenz und den Spitzendruck. Das Resultat ist eine perfekte Synchronität zwischen Beatmungsgerät und Patient, sowohl bei invasiver als auch bei nicht-invasiver Beatmung mit Nasenmasken oder Nasenbrillen (NIV-NAVA).</t>
        </is>
      </c>
      <c r="H97" t="inlineStr" s="2">
        <is>
          <t xml:space="preserve">Aus diesen Gründen wurden das Edi-Monitoring und das Konzept der neural regulierten Beatmungsunterstützung (Neurally Adjusted Ventilatory Assist, NAVA) entwickelt: Der eigene neuronale Atemantrieb des Patienten wird zur Steuerung des Beatmungsgeräts verwendet.</t>
        </is>
      </c>
      <c r="I97" s="2"/>
      <c r="J97" s="4"/>
      <c r="K97" s="2"/>
      <c r="L97" t="str" s="3">
        <f>HYPERLINK("https://www.getinge.com/de/news-und-events/neuigkeiten/gesundheitswesen/Schonendere-Beatmungsstrategien-fuer-Neugeborene/","/news-und-events/neuigkeiten/gesundheitswesen/Schonendere-Beatmungsstrategien-fuer-Neugeborene/")</f>
        <v>/news-und-events/neuigkeiten/gesundheitswesen/Schonendere-Beatmungsstrategien-fuer-Neugeborene/</v>
      </c>
    </row>
    <row r="98">
      <c r="A98" s="0">
        <v>97</v>
      </c>
      <c r="B98" t="str" s="3">
        <f>HYPERLINK("https://www.getinge.com/int/insights/updates/healthcare/gentler-ventilation-strategies-for-newborns/","/insights/updates/healthcare/gentler-ventilation-strategies-for-newborns/")</f>
        <v>/insights/updates/healthcare/gentler-ventilation-strategies-for-newborns/</v>
      </c>
      <c r="C98" t="inlineStr" s="2">
        <is>
          <t xml:space="preserve">To address these challenges, Edi monitoring and the concept of neurally adjusted ventilatory assist (NAVA) were developed. With NAVA, the patient’s own neural respiratory drive is used to control the ventilator.</t>
        </is>
      </c>
      <c r="D98" t="inlineStr" s="2">
        <is>
          <t xml:space="preserve">Aus diesen Gründen wurden das Edi-Monitoring und das Konzept der neural regulierten Beatmungsunterstützung (Neurally Adjusted Ventilatory Assist, NAVA) entwickelt: Der eigene neuronale Atemantrieb des Patienten wird zur Steuerung des Beatmungsgeräts verwendet.</t>
        </is>
      </c>
      <c r="E98" t="inlineStr" s="0">
        <is>
          <t xml:space="preserve">High</t>
        </is>
      </c>
      <c r="F98" s="4"/>
      <c r="G98" t="inlineStr" s="2">
        <is>
          <t xml:space="preserve">Kallio M, Peltoniemi O, Anila E, Pokka T, Kontiokari T. Neurally Adjusted Ventilatory Assist (NAVA) in Pediatric Intensive Care – A Randomized Controlled Trial. Pediatr Pulmonol. Jan. 2015;50(1):55-62.</t>
        </is>
      </c>
      <c r="H98" t="inlineStr" s="2">
        <is>
          <t xml:space="preserve">Piastra M, De Luca D, Costa R, Pizza A, De Sanctis R, Marzano L, Biasucci D, Visconti F, Conti G. Neurally adjusted ventilatory assist vs pressure support ventilation in infants recovering from severe acute respiratory distress syndrome: Nested study. J Crit Care. 2013 Oct 24.</t>
        </is>
      </c>
      <c r="I98" t="inlineStr" s="2">
        <is>
          <t xml:space="preserve">Lee J, Kim HS, Jung YH, Shin SH, Choi CW, Kim EK, Kim BI, Choi JH. Non-invasive neurally adjusted ventilatory assist in preterm infants: a randomised phase II crossover trial. Arch Dis Child Fetal Neonatal Ed. 2015 Nov;100(6):F507-13.</t>
        </is>
      </c>
      <c r="J98" s="4"/>
      <c r="K98" s="2"/>
      <c r="L98" t="str" s="3">
        <f>HYPERLINK("https://www.getinge.com/de/news-und-events/neuigkeiten/gesundheitswesen/Schonendere-Beatmungsstrategien-fuer-Neugeborene/","/news-und-events/neuigkeiten/gesundheitswesen/Schonendere-Beatmungsstrategien-fuer-Neugeborene/")</f>
        <v>/news-und-events/neuigkeiten/gesundheitswesen/Schonendere-Beatmungsstrategien-fuer-Neugeborene/</v>
      </c>
    </row>
    <row r="99">
      <c r="A99" s="0">
        <v>98</v>
      </c>
      <c r="B99" t="str" s="3">
        <f>HYPERLINK("https://www.getinge.com/int/insights/updates/healthcare/gentler-ventilation-strategies-for-newborns/","/insights/updates/healthcare/gentler-ventilation-strategies-for-newborns/")</f>
        <v>/insights/updates/healthcare/gentler-ventilation-strategies-for-newborns/</v>
      </c>
      <c r="C99" t="inlineStr" s="2">
        <is>
          <t xml:space="preserve">The advantages of neurally controlled ventilation</t>
        </is>
      </c>
      <c r="D99" t="inlineStr" s="2">
        <is>
          <t xml:space="preserve">Die Vorteile neurologisch angepasster Beatmung</t>
        </is>
      </c>
      <c r="E99" t="inlineStr" s="0">
        <is>
          <t xml:space="preserve">Medium</t>
        </is>
      </c>
      <c r="F99" s="4"/>
      <c r="G99" t="inlineStr" s="2">
        <is>
          <t xml:space="preserve">Protektive Tidalvolumina und inspiratorische Drücke 3</t>
        </is>
      </c>
      <c r="H99" t="inlineStr" s="2">
        <is>
          <t xml:space="preserve">Verkürzte Beatmungsdauer 5,8 und ITS-Aufenthalt 7,9</t>
        </is>
      </c>
      <c r="I99" s="2"/>
      <c r="J99" s="4"/>
      <c r="K99" s="2"/>
      <c r="L99" t="str" s="3">
        <f>HYPERLINK("https://www.getinge.com/de/news-und-events/neuigkeiten/gesundheitswesen/Schonendere-Beatmungsstrategien-fuer-Neugeborene/","/news-und-events/neuigkeiten/gesundheitswesen/Schonendere-Beatmungsstrategien-fuer-Neugeborene/")</f>
        <v>/news-und-events/neuigkeiten/gesundheitswesen/Schonendere-Beatmungsstrategien-fuer-Neugeborene/</v>
      </c>
    </row>
    <row r="100">
      <c r="A100" s="0">
        <v>99</v>
      </c>
      <c r="B100" t="str" s="3">
        <f>HYPERLINK("https://www.getinge.com/int/insights/updates/healthcare/gentler-ventilation-strategies-for-newborns/","/insights/updates/healthcare/gentler-ventilation-strategies-for-newborns/")</f>
        <v>/insights/updates/healthcare/gentler-ventilation-strategies-for-newborns/</v>
      </c>
      <c r="C100" t="inlineStr" s="2">
        <is>
          <t xml:space="preserve">With NAVA and NIV NAVA, newborns can control their own ventilation. By using the neural respiratory drive, it is not the ventilator but the patient who determines the initiation and termination of each breath, as well as the breath size, inspiratory time, respiratory rate, and peak pressure. The result is improved synchronisation between the ventilator and the patient, both during invasive and non-invasive ventilation with nasal masks or nasal prongs (NIV NAVA).</t>
        </is>
      </c>
      <c r="D100" t="inlineStr" s="2">
        <is>
          <t xml:space="preserve">Mit NAVA und NIV-NAVA können Neugeborene ihre Beatmung selbst steuern. Durch die Verwendung des neuralen Triggers steuert nicht das Beatmungsgerät, sondern der Patient die Einleitung und Beendigung des Atemzugs, die Größe des Atemzugs, die Einatmungszeit, die Atemfrequenz und den Spitzendruck. Das Resultat ist eine perfekte Synchronität zwischen Beatmungsgerät und Patient, sowohl bei invasiver als auch bei nicht-invasiver Beatmung mit Nasenmasken oder Nasenbrillen (NIV-NAVA).</t>
        </is>
      </c>
      <c r="E100" t="inlineStr" s="0">
        <is>
          <t xml:space="preserve">Medium</t>
        </is>
      </c>
      <c r="F100" s="4"/>
      <c r="G100" t="inlineStr" s="2">
        <is>
          <t xml:space="preserve">Die nicht-invasive Beatmung (NIV) zielt darauf ab, diese Komplikationen zu minimieren und gleichzeitig die Atmung des Patienten zu unterstützen. Es ist aus mehreren Gründen besonders bei Kindern schwierig, NIV an die Bedürfnisse des Patienten anzupassen: Vor allem kleine Tidalvolumina und hohe Atemfrequenzen, insbesondere bei Leckagen, stören die Synchronität von Patient und Beatmungsgerät. Undichtigkeiten führen zudem zu einer unzuverlässigen Überwachung des Atemantriebs und der Atemfrequenz.</t>
        </is>
      </c>
      <c r="H100" t="inlineStr" s="2">
        <is>
          <t xml:space="preserve">Aus diesen Gründen wurden das Edi-Monitoring und das Konzept der neural regulierten Beatmungsunterstützung (Neurally Adjusted Ventilatory Assist, NAVA) entwickelt: Der eigene neuronale Atemantrieb des Patienten wird zur Steuerung des Beatmungsgeräts verwendet.</t>
        </is>
      </c>
      <c r="I100" s="2"/>
      <c r="J100" s="4"/>
      <c r="K100" s="2"/>
      <c r="L100" t="str" s="3">
        <f>HYPERLINK("https://www.getinge.com/de/news-und-events/neuigkeiten/gesundheitswesen/Schonendere-Beatmungsstrategien-fuer-Neugeborene/","/news-und-events/neuigkeiten/gesundheitswesen/Schonendere-Beatmungsstrategien-fuer-Neugeborene/")</f>
        <v>/news-und-events/neuigkeiten/gesundheitswesen/Schonendere-Beatmungsstrategien-fuer-Neugeborene/</v>
      </c>
    </row>
    <row r="101">
      <c r="A101" s="0">
        <v>100</v>
      </c>
      <c r="B101" t="str" s="3">
        <f>HYPERLINK("https://www.getinge.com/int/insights/updates/healthcare/gentler-ventilation-strategies-for-newborns/","/insights/updates/healthcare/gentler-ventilation-strategies-for-newborns/")</f>
        <v>/insights/updates/healthcare/gentler-ventilation-strategies-for-newborns/</v>
      </c>
      <c r="C101" t="inlineStr" s="2">
        <is>
          <t xml:space="preserve">Studies demonstrate that newborns supported with NAVA and NIV-NAVA show:</t>
        </is>
      </c>
      <c r="D101" t="inlineStr" s="2">
        <is>
          <t xml:space="preserve">Studien zeigen, dass bei Neugeborenen, die mit NAVA und NIV-NAVA unterstützt werden, Folgendes zu beobachten ist:</t>
        </is>
      </c>
      <c r="E101" t="inlineStr" s="0">
        <is>
          <t xml:space="preserve">Medium</t>
        </is>
      </c>
      <c r="F101" s="4"/>
      <c r="G101" t="inlineStr" s="2">
        <is>
          <t xml:space="preserve">Erfahren Sie mehr über NAVA.</t>
        </is>
      </c>
      <c r="H101" t="inlineStr" s="2">
        <is>
          <t xml:space="preserve">Die Vorteile neurologisch angepasster Beatmung</t>
        </is>
      </c>
      <c r="I101" s="2"/>
      <c r="J101" s="4"/>
      <c r="K101" s="2"/>
      <c r="L101" t="str" s="3">
        <f>HYPERLINK("https://www.getinge.com/de/news-und-events/neuigkeiten/gesundheitswesen/Schonendere-Beatmungsstrategien-fuer-Neugeborene/","/news-und-events/neuigkeiten/gesundheitswesen/Schonendere-Beatmungsstrategien-fuer-Neugeborene/")</f>
        <v>/news-und-events/neuigkeiten/gesundheitswesen/Schonendere-Beatmungsstrategien-fuer-Neugeborene/</v>
      </c>
    </row>
    <row r="102">
      <c r="A102" s="0">
        <v>101</v>
      </c>
      <c r="B102" t="str" s="3">
        <f>HYPERLINK("https://www.getinge.com/int/insights/updates/healthcare/gentler-ventilation-strategies-for-newborns/","/insights/updates/healthcare/gentler-ventilation-strategies-for-newborns/")</f>
        <v>/insights/updates/healthcare/gentler-ventilation-strategies-for-newborns/</v>
      </c>
      <c r="C102" t="inlineStr" s="2">
        <is>
          <t xml:space="preserve">Reduced work of breathing WOB[2]</t>
        </is>
      </c>
      <c r="D102" t="inlineStr" s="2">
        <is>
          <t xml:space="preserve">Reduzierte Atemarbeit WOB 2</t>
        </is>
      </c>
      <c r="E102" t="inlineStr" s="0">
        <is>
          <t xml:space="preserve">High</t>
        </is>
      </c>
      <c r="F102" s="4"/>
      <c r="G102" t="inlineStr" s="2">
        <is>
          <t xml:space="preserve">Die Vorteile neurologisch angepasster Beatmung</t>
        </is>
      </c>
      <c r="H102" t="inlineStr" s="2">
        <is>
          <t xml:space="preserve">Verkürzte Beatmungsdauer 5,8 und ITS-Aufenthalt 7,9</t>
        </is>
      </c>
      <c r="I102" t="inlineStr" s="2">
        <is>
          <t xml:space="preserve">Verbesserte Synchronität 1</t>
        </is>
      </c>
      <c r="J102" s="4"/>
      <c r="K102" s="2"/>
      <c r="L102" t="str" s="3">
        <f>HYPERLINK("https://www.getinge.com/de/news-und-events/neuigkeiten/gesundheitswesen/Schonendere-Beatmungsstrategien-fuer-Neugeborene/","/news-und-events/neuigkeiten/gesundheitswesen/Schonendere-Beatmungsstrategien-fuer-Neugeborene/")</f>
        <v>/news-und-events/neuigkeiten/gesundheitswesen/Schonendere-Beatmungsstrategien-fuer-Neugeborene/</v>
      </c>
    </row>
    <row r="103">
      <c r="A103" s="0">
        <v>102</v>
      </c>
      <c r="B103" t="str" s="3">
        <f>HYPERLINK("https://www.getinge.com/int/insights/updates/healthcare/gentler-ventilation-strategies-for-newborns/","/insights/updates/healthcare/gentler-ventilation-strategies-for-newborns/")</f>
        <v>/insights/updates/healthcare/gentler-ventilation-strategies-for-newborns/</v>
      </c>
      <c r="C103" t="inlineStr" s="2">
        <is>
          <t xml:space="preserve">Protective tidal volumes and inspiratory pressures[3]</t>
        </is>
      </c>
      <c r="D103" t="inlineStr" s="2">
        <is>
          <t xml:space="preserve">Protektive Tidalvolumina und inspiratorische Drücke 3</t>
        </is>
      </c>
      <c r="E103" t="inlineStr" s="0">
        <is>
          <t xml:space="preserve">High</t>
        </is>
      </c>
      <c r="F103" s="4"/>
      <c r="G103" t="inlineStr" s="2">
        <is>
          <t xml:space="preserve">Verkürzte Beatmungsdauer 5,8 und ITS-Aufenthalt 7,9</t>
        </is>
      </c>
      <c r="H103" t="inlineStr" s="2">
        <is>
          <t xml:space="preserve">Die Vorteile neurologisch angepasster Beatmung</t>
        </is>
      </c>
      <c r="I103" s="2"/>
      <c r="J103" s="4"/>
      <c r="K103" s="2"/>
      <c r="L103" t="str" s="3">
        <f>HYPERLINK("https://www.getinge.com/de/news-und-events/neuigkeiten/gesundheitswesen/Schonendere-Beatmungsstrategien-fuer-Neugeborene/","/news-und-events/neuigkeiten/gesundheitswesen/Schonendere-Beatmungsstrategien-fuer-Neugeborene/")</f>
        <v>/news-und-events/neuigkeiten/gesundheitswesen/Schonendere-Beatmungsstrategien-fuer-Neugeborene/</v>
      </c>
    </row>
    <row r="104">
      <c r="A104" s="0">
        <v>103</v>
      </c>
      <c r="B104" t="str" s="3">
        <f>HYPERLINK("https://www.getinge.com/int/insights/updates/healthcare/gentler-ventilation-strategies-for-newborns/","/insights/updates/healthcare/gentler-ventilation-strategies-for-newborns/")</f>
        <v>/insights/updates/healthcare/gentler-ventilation-strategies-for-newborns/</v>
      </c>
      <c r="C104" t="inlineStr" s="2">
        <is>
          <t xml:space="preserve">Shortened ventilation time[5],[8] and ICU stay[7],[9]</t>
        </is>
      </c>
      <c r="D104" s="2"/>
      <c r="F104" s="4"/>
      <c r="G104" t="inlineStr" s="2">
        <is>
          <t xml:space="preserve">Protektive Tidalvolumina und inspiratorische Drücke 3</t>
        </is>
      </c>
      <c r="H104" t="inlineStr" s="2">
        <is>
          <t xml:space="preserve">Verkürzte Beatmungsdauer 5,8 und ITS-Aufenthalt 7,9</t>
        </is>
      </c>
      <c r="I104" t="inlineStr" s="2">
        <is>
          <t xml:space="preserve">Die Vorteile neurologisch angepasster Beatmung</t>
        </is>
      </c>
      <c r="J104" s="4"/>
      <c r="K104" s="2"/>
      <c r="L104" t="str" s="3">
        <f>HYPERLINK("https://www.getinge.com/de/news-und-events/neuigkeiten/gesundheitswesen/Schonendere-Beatmungsstrategien-fuer-Neugeborene/","/news-und-events/neuigkeiten/gesundheitswesen/Schonendere-Beatmungsstrategien-fuer-Neugeborene/")</f>
        <v>/news-und-events/neuigkeiten/gesundheitswesen/Schonendere-Beatmungsstrategien-fuer-Neugeborene/</v>
      </c>
    </row>
    <row r="105">
      <c r="A105" s="0">
        <v>104</v>
      </c>
      <c r="B105" t="str" s="3">
        <f>HYPERLINK("https://www.getinge.com/int/insights/updates/healthcare/gentler-ventilation-strategies-for-newborns/","/insights/updates/healthcare/gentler-ventilation-strategies-for-newborns/")</f>
        <v>/insights/updates/healthcare/gentler-ventilation-strategies-for-newborns/</v>
      </c>
      <c r="C105" t="inlineStr" s="2">
        <is>
          <t xml:space="preserve">Learn more about NAVA.</t>
        </is>
      </c>
      <c r="D105" t="inlineStr" s="2">
        <is>
          <t xml:space="preserve">Erfahren Sie mehr über NAVA.</t>
        </is>
      </c>
      <c r="E105" t="inlineStr" s="0">
        <is>
          <t xml:space="preserve">Medium</t>
        </is>
      </c>
      <c r="F105" s="4"/>
      <c r="G105" t="inlineStr" s="2">
        <is>
          <t xml:space="preserve">Verbesserte Synchronität 1</t>
        </is>
      </c>
      <c r="H105" t="inlineStr" s="2">
        <is>
          <t xml:space="preserve">Reduzierte Atemarbeit WOB 2</t>
        </is>
      </c>
      <c r="I105" t="inlineStr" s="2">
        <is>
          <t xml:space="preserve">Besserer Gasaustausch 4</t>
        </is>
      </c>
      <c r="J105" s="4"/>
      <c r="K105" s="2"/>
      <c r="L105" t="str" s="3">
        <f>HYPERLINK("https://www.getinge.com/de/news-und-events/neuigkeiten/gesundheitswesen/Schonendere-Beatmungsstrategien-fuer-Neugeborene/","/news-und-events/neuigkeiten/gesundheitswesen/Schonendere-Beatmungsstrategien-fuer-Neugeborene/")</f>
        <v>/news-und-events/neuigkeiten/gesundheitswesen/Schonendere-Beatmungsstrategien-fuer-Neugeborene/</v>
      </c>
    </row>
    <row r="106">
      <c r="A106" s="0">
        <v>105</v>
      </c>
      <c r="B106" t="str" s="3">
        <f>HYPERLINK("https://www.getinge.com/int/insights/updates/healthcare/getting-the-most-out-of-service-contracts/","/insights/updates/healthcare/getting-the-most-out-of-service-contracts/")</f>
        <v>/insights/updates/healthcare/getting-the-most-out-of-service-contracts/</v>
      </c>
      <c r="C106" t="inlineStr" s="2">
        <is>
          <t xml:space="preserve">Service contracts are a key factor in ensuring equipment uptime and cost predictability in hospitals. In this interview, Duane Hawkins, Service Expert at Getinge, shares his perspective on what defines a high-quality service partnership and how proactive maintenance supports reliable hospital operations.</t>
        </is>
      </c>
      <c r="D106" t="inlineStr" s="2">
        <is>
          <t xml:space="preserve">Serviceverträge sind ein wichtiger Faktor, um die Verfügbarkeit medizintechnischer Geräte sicherzustellen und gleichzeitig Kosten planbar zu halten. In diesem Interview erläutert Duane Hawkins, Service-Experte bei Getinge, worauf es bei einer hochwertigen Servicepartnerschaft ankommt und wie proaktive Wartung zu einem zuverlässigen Krankenhausbetrieb beiträgt.</t>
        </is>
      </c>
      <c r="E106" t="inlineStr" s="0">
        <is>
          <t xml:space="preserve">Medium</t>
        </is>
      </c>
      <c r="F106" s="4"/>
      <c r="G106" t="inlineStr" s="2">
        <is>
          <t xml:space="preserve">Duane Hawkins: Die Servicetechniker*innen von Getinge spielen eine zentrale Rolle bei der Sicherstellung von Leistung, Zuverlässigkeit und Sicherheit von Getinge-Medizintechnik. Als direkte Ansprechpartner im Service sind sie für die Fehlerdiagnose, Reparaturen und die Durchführung präventiver Wartungsmaßnahmen verantwortlich.</t>
        </is>
      </c>
      <c r="H106" t="inlineStr" s="2">
        <is>
          <t xml:space="preserve">Duane Hawkins: In Gesundheitseinrichtungen – insbesondere im Operationssaal, auf Intensivstationen und in der AEMP – ist es entscheidend, ungeplante Geräteausfälle zu minimieren. Zuverlässige Medizintechnik ist unerlässlich, um die Patientensicherheit zu gewährleisten, klinische Abläufe zu unterstützen und eine effiziente Patientenversorgung sicherzustellen.</t>
        </is>
      </c>
      <c r="I106" t="inlineStr" s="2">
        <is>
          <t xml:space="preserve">Duane Hawkins: Gesundheitseinrichtungen stehen häufig unter Budgetdruck, was sich direkt auf Entscheidungen rund um Wartung und Serviceleistungen auswirkt. Deshalb entscheiden sich manche Einrichtungen für Wartungsverträge, die sich ausschließlich auf präventive Wartungsmaßnahmen konzentrieren und weitergehende Reparatur- oder Supportleistungen ausschließen.</t>
        </is>
      </c>
      <c r="J106" s="4"/>
      <c r="K106" s="2"/>
      <c r="L106" t="str" s="3">
        <f>HYPERLINK("https://www.getinge.com/de/news-und-events/neuigkeiten/gesundheitswesen/das-potenzial-von-servicevertraegen-optimal-nutzen/","/news-und-events/neuigkeiten/gesundheitswesen/das-potenzial-von-servicevertraegen-optimal-nutzen/")</f>
        <v>/news-und-events/neuigkeiten/gesundheitswesen/das-potenzial-von-servicevertraegen-optimal-nutzen/</v>
      </c>
    </row>
    <row r="107">
      <c r="A107" s="0">
        <v>106</v>
      </c>
      <c r="B107" t="str" s="3">
        <f>HYPERLINK("https://www.getinge.com/int/insights/updates/healthcare/getting-the-most-out-of-service-contracts/","/insights/updates/healthcare/getting-the-most-out-of-service-contracts/")</f>
        <v>/insights/updates/healthcare/getting-the-most-out-of-service-contracts/</v>
      </c>
      <c r="C107" t="inlineStr" s="2">
        <is>
          <t xml:space="preserve">What makes a service contract effective, and why it matters to improve reliability and financial efficiency?</t>
        </is>
      </c>
      <c r="D107" t="inlineStr" s="2">
        <is>
          <t xml:space="preserve">Was macht einen Servicevertrag effektiv – und warum ist er wichtig für Verfügbarkeit und wirtschaftliche Effizienz?</t>
        </is>
      </c>
      <c r="E107" t="inlineStr" s="0">
        <is>
          <t xml:space="preserve">Medium</t>
        </is>
      </c>
      <c r="F107" s="4"/>
      <c r="G107" t="inlineStr" s="2">
        <is>
          <t xml:space="preserve">Welche Rolle spielt die Expertise des Originalgeräteherstellers (OEM) bei Service und Wartung von Medizintechnik?</t>
        </is>
      </c>
      <c r="H107" t="inlineStr" s="2">
        <is>
          <t xml:space="preserve">Dieser partnerschaftliche Ansatz wird insbesondere in öffentlichen Gesundheitssystemen geschätzt, in denen Zuverlässigkeit, Compliance und Effizienz gleichermaßen wichtig sind.</t>
        </is>
      </c>
      <c r="I107" t="inlineStr" s="2">
        <is>
          <t xml:space="preserve">Bei der Auswahl eines Servicevertrags sollten kurzfristige Kostenerwägungen daher immer gegen die potenziellen betrieblichen und finanziellen Auswirkungen unerwarteter Geräteausfälle abgewogen werden.</t>
        </is>
      </c>
      <c r="J107" s="4"/>
      <c r="K107" s="2"/>
      <c r="L107" t="str" s="3">
        <f>HYPERLINK("https://www.getinge.com/de/news-und-events/neuigkeiten/gesundheitswesen/das-potenzial-von-servicevertraegen-optimal-nutzen/","/news-und-events/neuigkeiten/gesundheitswesen/das-potenzial-von-servicevertraegen-optimal-nutzen/")</f>
        <v>/news-und-events/neuigkeiten/gesundheitswesen/das-potenzial-von-servicevertraegen-optimal-nutzen/</v>
      </c>
    </row>
    <row r="108">
      <c r="A108" s="0">
        <v>107</v>
      </c>
      <c r="B108" t="str" s="3">
        <f>HYPERLINK("https://www.getinge.com/int/insights/updates/healthcare/getting-the-most-out-of-service-contracts/","/insights/updates/healthcare/getting-the-most-out-of-service-contracts/")</f>
        <v>/insights/updates/healthcare/getting-the-most-out-of-service-contracts/</v>
      </c>
      <c r="C108" t="inlineStr" s="2">
        <is>
          <t xml:space="preserve">Duane Hawkins: In healthcare environments, particularly operating rooms, ICU and CSSD, minimizing unplanned equipment downtime is critical. Reliable medical devices are essential for maintaining patient safety, supporting clinical workflows, and ensuring efficient delivery of patient care.</t>
        </is>
      </c>
      <c r="D108" t="inlineStr" s="2">
        <is>
          <t xml:space="preserve">Duane Hawkins: In Gesundheitseinrichtungen – insbesondere im Operationssaal, auf Intensivstationen und in der AEMP – ist es entscheidend, ungeplante Geräteausfälle zu minimieren. Zuverlässige Medizintechnik ist unerlässlich, um die Patientensicherheit zu gewährleisten, klinische Abläufe zu unterstützen und eine effiziente Patientenversorgung sicherzustellen.</t>
        </is>
      </c>
      <c r="E108" t="inlineStr" s="0">
        <is>
          <t xml:space="preserve">Medium</t>
        </is>
      </c>
      <c r="F108" s="4"/>
      <c r="G108" t="inlineStr" s="2">
        <is>
          <t xml:space="preserve">Duane Hawkins: Die Servicetechniker*innen von Getinge spielen eine zentrale Rolle bei der Sicherstellung von Leistung, Zuverlässigkeit und Sicherheit von Getinge-Medizintechnik. Als direkte Ansprechpartner im Service sind sie für die Fehlerdiagnose, Reparaturen und die Durchführung präventiver Wartungsmaßnahmen verantwortlich.</t>
        </is>
      </c>
      <c r="H108" t="inlineStr" s="2">
        <is>
          <t xml:space="preserve">Duane Hawkins: Gesundheitseinrichtungen stehen häufig unter Budgetdruck, was sich direkt auf Entscheidungen rund um Wartung und Serviceleistungen auswirkt. Deshalb entscheiden sich manche Einrichtungen für Wartungsverträge, die sich ausschließlich auf präventive Wartungsmaßnahmen konzentrieren und weitergehende Reparatur- oder Supportleistungen ausschließen.</t>
        </is>
      </c>
      <c r="I108" t="inlineStr" s="2">
        <is>
          <t xml:space="preserve">Serviceverträge sind ein wichtiger Faktor, um die Verfügbarkeit medizintechnischer Geräte sicherzustellen und gleichzeitig Kosten planbar zu halten. In diesem Interview erläutert Duane Hawkins, Service-Experte bei Getinge, worauf es bei einer hochwertigen Servicepartnerschaft ankommt und wie proaktive Wartung zu einem zuverlässigen Krankenhausbetrieb beiträgt.</t>
        </is>
      </c>
      <c r="J108" s="4"/>
      <c r="K108" s="2"/>
      <c r="L108" t="str" s="3">
        <f>HYPERLINK("https://www.getinge.com/de/news-und-events/neuigkeiten/gesundheitswesen/das-potenzial-von-servicevertraegen-optimal-nutzen/","/news-und-events/neuigkeiten/gesundheitswesen/das-potenzial-von-servicevertraegen-optimal-nutzen/")</f>
        <v>/news-und-events/neuigkeiten/gesundheitswesen/das-potenzial-von-servicevertraegen-optimal-nutzen/</v>
      </c>
    </row>
    <row r="109">
      <c r="A109" s="0">
        <v>108</v>
      </c>
      <c r="B109" t="str" s="3">
        <f>HYPERLINK("https://www.getinge.com/int/insights/updates/healthcare/getting-the-most-out-of-service-contracts/","/insights/updates/healthcare/getting-the-most-out-of-service-contracts/")</f>
        <v>/insights/updates/healthcare/getting-the-most-out-of-service-contracts/</v>
      </c>
      <c r="C109" t="inlineStr" s="2">
        <is>
          <t xml:space="preserve">Equipment failures can have significant operational and financial consequences. Unexpected disruptions may delay procedures, reduce productivity, and require potential unplanned expenditures for repairs. In some cases, additional budget allocations may be necessary, creating financial challenges for healthcare providers.</t>
        </is>
      </c>
      <c r="D109" t="inlineStr" s="2">
        <is>
          <t xml:space="preserve">Geräteausfälle können erhebliche betriebliche und finanzielle Folgen haben. Unerwartete Störungen führen möglicherweise zu Verzögerungen bei Eingriffen, beeinträchtigen die Produktivität und machen ungeplante Reparaturausgaben erforderlich. In manchen Fällen sind zusätzliche Budgetfreigaben notwendig, was Krankenhäuser vor finanzielle Herausforderungen stellt.</t>
        </is>
      </c>
      <c r="E109" t="inlineStr" s="0">
        <is>
          <t xml:space="preserve">Medium</t>
        </is>
      </c>
      <c r="F109" s="4"/>
      <c r="G109" t="inlineStr" s="2">
        <is>
          <t xml:space="preserve">Duane Hawkins: Gesundheitseinrichtungen stehen häufig unter Budgetdruck, was sich direkt auf Entscheidungen rund um Wartung und Serviceleistungen auswirkt. Deshalb entscheiden sich manche Einrichtungen für Wartungsverträge, die sich ausschließlich auf präventive Wartungsmaßnahmen konzentrieren und weitergehende Reparatur- oder Supportleistungen ausschließen.</t>
        </is>
      </c>
      <c r="H109" t="inlineStr" s="2">
        <is>
          <t xml:space="preserve">Auch die Ausgestaltung eines Servicevertrags kann Einfluss auf die Geschwindigkeit und Effizienz des technischen Supports haben. Einige Servicevereinbarungen beinhalten beispielsweise priorisierte Reaktionszeiten und klar definierte Supportprozesse. Dadurch lassen sich administrative Verzögerungen reduzieren und Probleme bei Geräteausfällen schneller lösen.</t>
        </is>
      </c>
      <c r="I109" t="inlineStr" s="2">
        <is>
          <t xml:space="preserve">Serviceverträge sind ein wichtiger Faktor, um die Verfügbarkeit medizintechnischer Geräte sicherzustellen und gleichzeitig Kosten planbar zu halten. In diesem Interview erläutert Duane Hawkins, Service-Experte bei Getinge, worauf es bei einer hochwertigen Servicepartnerschaft ankommt und wie proaktive Wartung zu einem zuverlässigen Krankenhausbetrieb beiträgt.</t>
        </is>
      </c>
      <c r="J109" s="4"/>
      <c r="K109" s="2"/>
      <c r="L109" t="str" s="3">
        <f>HYPERLINK("https://www.getinge.com/de/news-und-events/neuigkeiten/gesundheitswesen/das-potenzial-von-servicevertraegen-optimal-nutzen/","/news-und-events/neuigkeiten/gesundheitswesen/das-potenzial-von-servicevertraegen-optimal-nutzen/")</f>
        <v>/news-und-events/neuigkeiten/gesundheitswesen/das-potenzial-von-servicevertraegen-optimal-nutzen/</v>
      </c>
    </row>
    <row r="110">
      <c r="A110" s="0">
        <v>109</v>
      </c>
      <c r="B110" t="str" s="3">
        <f>HYPERLINK("https://www.getinge.com/int/insights/updates/healthcare/getting-the-most-out-of-service-contracts/","/insights/updates/healthcare/getting-the-most-out-of-service-contracts/")</f>
        <v>/insights/updates/healthcare/getting-the-most-out-of-service-contracts/</v>
      </c>
      <c r="C110" t="inlineStr" s="2">
        <is>
          <t xml:space="preserve">Service contracts can help mitigate these risks.</t>
        </is>
      </c>
      <c r="D110" t="inlineStr" s="2">
        <is>
          <t xml:space="preserve">Serviceverträge helfen dabei, diese Risiken zu reduzieren.</t>
        </is>
      </c>
      <c r="E110" t="inlineStr" s="0">
        <is>
          <t xml:space="preserve">Medium</t>
        </is>
      </c>
      <c r="F110" s="4"/>
      <c r="G110" t="inlineStr" s="2">
        <is>
          <t xml:space="preserve">Welches Fazit lässt sich zum Thema Serviceverträge ziehen?</t>
        </is>
      </c>
      <c r="H110" t="inlineStr" s="2">
        <is>
          <t xml:space="preserve">Welche Rolle spielen die Getinge-Servicetechniker*innen – und warum sind sie so wichtig?</t>
        </is>
      </c>
      <c r="I110" t="inlineStr" s="2">
        <is>
          <t xml:space="preserve">Darüber hinaus verfügt Getinge über spezialisierte Service Contract Sales Manager, die gemeinsam mit Gesundheitseinrichtungen Gerätebestände analysieren, Anforderungen und Risikoprofile bewerten und die jeweils passende Instandhaltungsstrategie entwickeln.</t>
        </is>
      </c>
      <c r="J110" s="4"/>
      <c r="K110" s="2"/>
      <c r="L110" t="str" s="3">
        <f>HYPERLINK("https://www.getinge.com/de/news-und-events/neuigkeiten/gesundheitswesen/das-potenzial-von-servicevertraegen-optimal-nutzen/","/news-und-events/neuigkeiten/gesundheitswesen/das-potenzial-von-servicevertraegen-optimal-nutzen/")</f>
        <v>/news-und-events/neuigkeiten/gesundheitswesen/das-potenzial-von-servicevertraegen-optimal-nutzen/</v>
      </c>
    </row>
    <row r="111">
      <c r="A111" s="0">
        <v>110</v>
      </c>
      <c r="B111" t="str" s="3">
        <f>HYPERLINK("https://www.getinge.com/int/insights/updates/healthcare/getting-the-most-out-of-service-contracts/","/insights/updates/healthcare/getting-the-most-out-of-service-contracts/")</f>
        <v>/insights/updates/healthcare/getting-the-most-out-of-service-contracts/</v>
      </c>
      <c r="C111" t="inlineStr" s="2">
        <is>
          <t xml:space="preserve">Healthcare providers can choose from a range of service contract options depending on their operational requirements and budgets, these may include planned preventative maintenance (PPM), or more comprehensive contracts that incorporate corrective maintenance and replacement parts.</t>
        </is>
      </c>
      <c r="D111" t="inlineStr" s="2">
        <is>
          <t xml:space="preserve">Gesundheitseinrichtungen können je nach ihren betrieblichen Anforderungen und Budgetvorgaben zwischen unterschiedlichen Vertragsmodellen wählen. Diese reichen von Verträgen mit geplanter präventiver Wartung (Planned Preventive Maintenance, PPM) bis hin zu umfassenderen Vereinbarungen, die auch korrektive Instandhaltung und Ersatzteile einschließen.</t>
        </is>
      </c>
      <c r="E111" t="inlineStr" s="0">
        <is>
          <t xml:space="preserve">Medium</t>
        </is>
      </c>
      <c r="F111" s="4"/>
      <c r="G111" t="inlineStr" s="2">
        <is>
          <t xml:space="preserve">Umfassendere Serviceleistungen – beispielsweise Getinge Care Premium – kombinieren geplante Wartungsmaßnahmen mit reaktiven Serviceleistungen. Dadurch lassen sich die Zuverlässigkeit von Geräten verbessern, ungeplante Ausfallzeiten reduzieren und Budgets besser planen.</t>
        </is>
      </c>
      <c r="H111" t="inlineStr" s="2">
        <is>
          <t xml:space="preserve">Duane Hawkins: Gesundheitseinrichtungen stehen häufig unter Budgetdruck, was sich direkt auf Entscheidungen rund um Wartung und Serviceleistungen auswirkt. Deshalb entscheiden sich manche Einrichtungen für Wartungsverträge, die sich ausschließlich auf präventive Wartungsmaßnahmen konzentrieren und weitergehende Reparatur- oder Supportleistungen ausschließen.</t>
        </is>
      </c>
      <c r="I111" t="inlineStr" s="2">
        <is>
          <t xml:space="preserve">Serviceverträge sind ein wichtiger Faktor, um die Verfügbarkeit medizintechnischer Geräte sicherzustellen und gleichzeitig Kosten planbar zu halten. In diesem Interview erläutert Duane Hawkins, Service-Experte bei Getinge, worauf es bei einer hochwertigen Servicepartnerschaft ankommt und wie proaktive Wartung zu einem zuverlässigen Krankenhausbetrieb beiträgt.</t>
        </is>
      </c>
      <c r="J111" s="4"/>
      <c r="K111" s="2"/>
      <c r="L111" t="str" s="3">
        <f>HYPERLINK("https://www.getinge.com/de/news-und-events/neuigkeiten/gesundheitswesen/das-potenzial-von-servicevertraegen-optimal-nutzen/","/news-und-events/neuigkeiten/gesundheitswesen/das-potenzial-von-servicevertraegen-optimal-nutzen/")</f>
        <v>/news-und-events/neuigkeiten/gesundheitswesen/das-potenzial-von-servicevertraegen-optimal-nutzen/</v>
      </c>
    </row>
    <row r="112">
      <c r="A112" s="0">
        <v>111</v>
      </c>
      <c r="B112" t="str" s="3">
        <f>HYPERLINK("https://www.getinge.com/int/insights/updates/healthcare/getting-the-most-out-of-service-contracts/","/insights/updates/healthcare/getting-the-most-out-of-service-contracts/")</f>
        <v>/insights/updates/healthcare/getting-the-most-out-of-service-contracts/</v>
      </c>
      <c r="C112" t="inlineStr" s="2">
        <is>
          <t xml:space="preserve">PPM service contracts help to mitigate risks by ensuring medical devices are inspected, serviced and maintained at scheduled intervals, whereas comprehensive agreements may offer additional benefits which contribute to higher equipment availability, budget security and more consistent clinical operations.</t>
        </is>
      </c>
      <c r="D112" t="inlineStr" s="2">
        <is>
          <t xml:space="preserve">PPM-Serviceverträge tragen dazu bei, Risiken zu minimieren, indem sie sicherstellen, dass Medizingeräte in festgelegten Intervallen überprüft, gewartet und instand gehalten werden. Umfassendere Verträge bieten darüber hinaus zusätzliche Vorteile, die zu einer höheren Geräteverfügbarkeit, größerer Budgetsicherheit und stabileren klinischen Abläufen beitragen können.</t>
        </is>
      </c>
      <c r="E112" t="inlineStr" s="0">
        <is>
          <t xml:space="preserve">Medium</t>
        </is>
      </c>
      <c r="F112" s="4"/>
      <c r="G112" t="inlineStr" s="2">
        <is>
          <t xml:space="preserve">Duane Hawkins: In Gesundheitseinrichtungen – insbesondere im Operationssaal, auf Intensivstationen und in der AEMP – ist es entscheidend, ungeplante Geräteausfälle zu minimieren. Zuverlässige Medizintechnik ist unerlässlich, um die Patientensicherheit zu gewährleisten, klinische Abläufe zu unterstützen und eine effiziente Patientenversorgung sicherzustellen.</t>
        </is>
      </c>
      <c r="H112" t="inlineStr" s="2">
        <is>
          <t xml:space="preserve">Serviceverträge sind ein wichtiger Faktor, um die Verfügbarkeit medizintechnischer Geräte sicherzustellen und gleichzeitig Kosten planbar zu halten. In diesem Interview erläutert Duane Hawkins, Service-Experte bei Getinge, worauf es bei einer hochwertigen Servicepartnerschaft ankommt und wie proaktive Wartung zu einem zuverlässigen Krankenhausbetrieb beiträgt.</t>
        </is>
      </c>
      <c r="I112" t="inlineStr" s="2">
        <is>
          <t xml:space="preserve">Gesundheitseinrichtungen können je nach ihren betrieblichen Anforderungen und Budgetvorgaben zwischen unterschiedlichen Vertragsmodellen wählen. Diese reichen von Verträgen mit geplanter präventiver Wartung (Planned Preventive Maintenance, PPM) bis hin zu umfassenderen Vereinbarungen, die auch korrektive Instandhaltung und Ersatzteile einschließen.</t>
        </is>
      </c>
      <c r="J112" s="4"/>
      <c r="K112" s="2"/>
      <c r="L112" t="str" s="3">
        <f>HYPERLINK("https://www.getinge.com/de/news-und-events/neuigkeiten/gesundheitswesen/das-potenzial-von-servicevertraegen-optimal-nutzen/","/news-und-events/neuigkeiten/gesundheitswesen/das-potenzial-von-servicevertraegen-optimal-nutzen/")</f>
        <v>/news-und-events/neuigkeiten/gesundheitswesen/das-potenzial-von-servicevertraegen-optimal-nutzen/</v>
      </c>
    </row>
    <row r="113">
      <c r="A113" s="0">
        <v>112</v>
      </c>
      <c r="B113" t="str" s="3">
        <f>HYPERLINK("https://www.getinge.com/int/insights/updates/healthcare/getting-the-most-out-of-service-contracts/","/insights/updates/healthcare/getting-the-most-out-of-service-contracts/")</f>
        <v>/insights/updates/healthcare/getting-the-most-out-of-service-contracts/</v>
      </c>
      <c r="C113" t="inlineStr" s="2">
        <is>
          <t xml:space="preserve">Selecting the appropriate level of coverage, following an evaluation of requirements and risks associated with equipment failure, allows alignment of maintenance strategies with their clinical and financial objectives.</t>
        </is>
      </c>
      <c r="D113" s="2"/>
      <c r="F113" s="4"/>
      <c r="G113" t="inlineStr" s="2">
        <is>
          <t xml:space="preserve">Darüber hinaus verfügt Getinge über spezialisierte Service Contract Sales Manager, die gemeinsam mit Gesundheitseinrichtungen Gerätebestände analysieren, Anforderungen und Risikoprofile bewerten und die jeweils passende Instandhaltungsstrategie entwickeln.</t>
        </is>
      </c>
      <c r="H113" t="inlineStr" s="2">
        <is>
          <t xml:space="preserve">Umfassendere Serviceleistungen – beispielsweise Getinge Care Premium – kombinieren geplante Wartungsmaßnahmen mit reaktiven Serviceleistungen. Dadurch lassen sich die Zuverlässigkeit von Geräten verbessern, ungeplante Ausfallzeiten reduzieren und Budgets besser planen.</t>
        </is>
      </c>
      <c r="I113" t="inlineStr" s="2">
        <is>
          <t xml:space="preserve">Regelmäßige Schulungen und Rezertifizierungen helfen dabei sicherzustellen, dass die internen Techniker:innen stets mit aktuellen Wartungsverfahren, regulatorischen Anforderungen und Produktupdates vertraut sind.</t>
        </is>
      </c>
      <c r="J113" s="4"/>
      <c r="K113" s="2"/>
      <c r="L113" t="str" s="3">
        <f>HYPERLINK("https://www.getinge.com/de/news-und-events/neuigkeiten/gesundheitswesen/das-potenzial-von-servicevertraegen-optimal-nutzen/","/news-und-events/neuigkeiten/gesundheitswesen/das-potenzial-von-servicevertraegen-optimal-nutzen/")</f>
        <v>/news-und-events/neuigkeiten/gesundheitswesen/das-potenzial-von-servicevertraegen-optimal-nutzen/</v>
      </c>
    </row>
    <row r="114">
      <c r="A114" s="0">
        <v>113</v>
      </c>
      <c r="B114" t="str" s="3">
        <f>HYPERLINK("https://www.getinge.com/int/insights/updates/healthcare/getting-the-most-out-of-service-contracts/","/insights/updates/healthcare/getting-the-most-out-of-service-contracts/")</f>
        <v>/insights/updates/healthcare/getting-the-most-out-of-service-contracts/</v>
      </c>
      <c r="C114" t="inlineStr" s="2">
        <is>
          <t xml:space="preserve">What is the role of the OEM (Getinge) expertise in medical device service and maintenance?</t>
        </is>
      </c>
      <c r="D114" t="inlineStr" s="2">
        <is>
          <t xml:space="preserve">Welche Rolle spielt die Expertise des Originalgeräteherstellers (OEM) bei Service und Wartung von Medizintechnik?</t>
        </is>
      </c>
      <c r="E114" t="inlineStr" s="0">
        <is>
          <t xml:space="preserve">Medium</t>
        </is>
      </c>
      <c r="F114" s="4"/>
      <c r="G114" t="inlineStr" s="2">
        <is>
          <t xml:space="preserve">Welche Rolle spielen die Getinge-Servicetechniker*innen – und warum sind sie so wichtig?</t>
        </is>
      </c>
      <c r="H114" t="inlineStr" s="2">
        <is>
          <t xml:space="preserve">Einige Krankenhäuser verfügen über eigene Medizintechnik-Teams. Arbeiten Sie mit diesen zusammen?</t>
        </is>
      </c>
      <c r="I114" t="inlineStr" s="2">
        <is>
          <t xml:space="preserve">Was macht einen Servicevertrag effektiv – und warum ist er wichtig für Verfügbarkeit und wirtschaftliche Effizienz?</t>
        </is>
      </c>
      <c r="J114" s="4"/>
      <c r="K114" s="2"/>
      <c r="L114" t="str" s="3">
        <f>HYPERLINK("https://www.getinge.com/de/news-und-events/neuigkeiten/gesundheitswesen/das-potenzial-von-servicevertraegen-optimal-nutzen/","/news-und-events/neuigkeiten/gesundheitswesen/das-potenzial-von-servicevertraegen-optimal-nutzen/")</f>
        <v>/news-und-events/neuigkeiten/gesundheitswesen/das-potenzial-von-servicevertraegen-optimal-nutzen/</v>
      </c>
    </row>
    <row r="115">
      <c r="A115" s="0">
        <v>114</v>
      </c>
      <c r="B115" t="str" s="3">
        <f>HYPERLINK("https://www.getinge.com/int/insights/updates/healthcare/getting-the-most-out-of-service-contracts/","/insights/updates/healthcare/getting-the-most-out-of-service-contracts/")</f>
        <v>/insights/updates/healthcare/getting-the-most-out-of-service-contracts/</v>
      </c>
      <c r="C115" t="inlineStr" s="2">
        <is>
          <t xml:space="preserve">Duane Hawkins: The quality and effectiveness of medical equipment servicing can be influenced by several factors, including technical expertise, access to manufacturer information, and the availability of approved replacement parts. Healthcare organizations may obtain maintenance services directly from the original equipment manufacturer (OEM, Getinge) or from independent service providers, depending on their operational requirements and service strategies.</t>
        </is>
      </c>
      <c r="D115" t="inlineStr" s="2">
        <is>
          <t xml:space="preserve">Duane Hawkins: Die Qualität und Wirksamkeit der Wartung medizintechnischer Geräte wird von verschiedenen Faktoren beeinflusst, darunter technisches Fachwissen, der Zugang zu Herstellerinformationen sowie die Verfügbarkeit freigegebener Ersatzteile. Gesundheitseinrichtungen können Wartungsleistungen entweder direkt vom Originalgerätehersteller (OEM) oder von unabhängigen Serviceanbietern beziehen – abhängig von ihren Anforderungen und ihrer Service-Strategie.</t>
        </is>
      </c>
      <c r="E115" t="inlineStr" s="0">
        <is>
          <t xml:space="preserve">Medium</t>
        </is>
      </c>
      <c r="F115" s="4"/>
      <c r="G115" t="inlineStr" s="2">
        <is>
          <t xml:space="preserve">Getinge beschäftigt Ingenieur:innen und Servicetechniker:innen, die produktspezifisch geschult werden und Zugang zu detaillierter technischer Dokumentation haben, die über den gesamten Produktlebenszyklus hinweg entwickelt wurde. Dieses Wissen reicht von der Produktentwicklung und Konstruktion über Installation und Wartung bis hin zur Unterstützung am Ende des Produktlebenszyklus. Dadurch wird sichergestellt, dass Wartungsarbeiten gemäß den Herstellervorgaben durchgeführt werden.</t>
        </is>
      </c>
      <c r="H115" t="inlineStr" s="2">
        <is>
          <t xml:space="preserve">Die Leistungsfähigkeit einer Serviceorganisation hängt maßgeblich von der technischen Kompetenz, dem Produktwissen und der Erfahrung ihrer Ingenieur:innen und Techniker:innen ab. Getinge legt daher großen Wert auf hochwertige Schulungen sowie die kontinuierliche Bewertung und Weiterentwicklung seiner Serviceteams. So wird sichergestellt, dass Geräte gemäß den Herstellervorgaben gewartet werden, Ausfallrisiken reduziert und stabile klinische Abläufe unterstützt werden.</t>
        </is>
      </c>
      <c r="I115" t="inlineStr" s="2">
        <is>
          <t xml:space="preserve">Serviceverträge sind ein wichtiger Faktor, um die Verfügbarkeit medizintechnischer Geräte sicherzustellen und gleichzeitig Kosten planbar zu halten. In diesem Interview erläutert Duane Hawkins, Service-Experte bei Getinge, worauf es bei einer hochwertigen Servicepartnerschaft ankommt und wie proaktive Wartung zu einem zuverlässigen Krankenhausbetrieb beiträgt.</t>
        </is>
      </c>
      <c r="J115" s="4"/>
      <c r="K115" s="2"/>
      <c r="L115" t="str" s="3">
        <f>HYPERLINK("https://www.getinge.com/de/news-und-events/neuigkeiten/gesundheitswesen/das-potenzial-von-servicevertraegen-optimal-nutzen/","/news-und-events/neuigkeiten/gesundheitswesen/das-potenzial-von-servicevertraegen-optimal-nutzen/")</f>
        <v>/news-und-events/neuigkeiten/gesundheitswesen/das-potenzial-von-servicevertraegen-optimal-nutzen/</v>
      </c>
    </row>
    <row r="116">
      <c r="A116" s="0">
        <v>115</v>
      </c>
      <c r="B116" t="str" s="3">
        <f>HYPERLINK("https://www.getinge.com/int/insights/updates/healthcare/getting-the-most-out-of-service-contracts/","/insights/updates/healthcare/getting-the-most-out-of-service-contracts/")</f>
        <v>/insights/updates/healthcare/getting-the-most-out-of-service-contracts/</v>
      </c>
      <c r="C116" t="inlineStr" s="2">
        <is>
          <t xml:space="preserve">Getinge employs engineers and technicians who receive product-specific training and have access to detailed technical documentation developed throughout the product lifecycle. This knowledge extends from product design and development through installation, maintenance, and end-of-life support. Such familiarity ensures that maintenance procedures are performed according to manufacturer specifications.</t>
        </is>
      </c>
      <c r="D116" t="inlineStr" s="2">
        <is>
          <t xml:space="preserve">Getinge beschäftigt Ingenieur:innen und Servicetechniker:innen, die produktspezifisch geschult werden und Zugang zu detaillierter technischer Dokumentation haben, die über den gesamten Produktlebenszyklus hinweg entwickelt wurde. Dieses Wissen reicht von der Produktentwicklung und Konstruktion über Installation und Wartung bis hin zur Unterstützung am Ende des Produktlebenszyklus. Dadurch wird sichergestellt, dass Wartungsarbeiten gemäß den Herstellervorgaben durchgeführt werden.</t>
        </is>
      </c>
      <c r="E116" t="inlineStr" s="0">
        <is>
          <t xml:space="preserve">Medium</t>
        </is>
      </c>
      <c r="F116" s="4"/>
      <c r="G116" t="inlineStr" s="2">
        <is>
          <t xml:space="preserve">Die Leistungsfähigkeit einer Serviceorganisation hängt maßgeblich von der technischen Kompetenz, dem Produktwissen und der Erfahrung ihrer Ingenieur:innen und Techniker:innen ab. Getinge legt daher großen Wert auf hochwertige Schulungen sowie die kontinuierliche Bewertung und Weiterentwicklung seiner Serviceteams. So wird sichergestellt, dass Geräte gemäß den Herstellervorgaben gewartet werden, Ausfallrisiken reduziert und stabile klinische Abläufe unterstützt werden.</t>
        </is>
      </c>
      <c r="H116" t="inlineStr" s="2">
        <is>
          <t xml:space="preserve">Duane Hawkins: Die Qualität und Wirksamkeit der Wartung medizintechnischer Geräte wird von verschiedenen Faktoren beeinflusst, darunter technisches Fachwissen, der Zugang zu Herstellerinformationen sowie die Verfügbarkeit freigegebener Ersatzteile. Gesundheitseinrichtungen können Wartungsleistungen entweder direkt vom Originalgerätehersteller (OEM) oder von unabhängigen Serviceanbietern beziehen – abhängig von ihren Anforderungen und ihrer Service-Strategie.</t>
        </is>
      </c>
      <c r="I116" t="inlineStr" s="2">
        <is>
          <t xml:space="preserve">Ein weiterer wichtiger Aspekt ist der Zugang zu herstellerspezifischen Ressourcen. Getinge verfügt exklusiv über Originalersatzteile, Software-Updates, technische Mitteilungen und sicherheitsrelevante Informationen. Diese Ressourcen unterstützen konsistente Wartungsprozesse und tragen dazu bei, dass Geräte weiterhin den empfohlenen Leistungs- und Sicherheitsstandards des Herstellers entsprechen.</t>
        </is>
      </c>
      <c r="J116" s="4"/>
      <c r="K116" s="2"/>
      <c r="L116" t="str" s="3">
        <f>HYPERLINK("https://www.getinge.com/de/news-und-events/neuigkeiten/gesundheitswesen/das-potenzial-von-servicevertraegen-optimal-nutzen/","/news-und-events/neuigkeiten/gesundheitswesen/das-potenzial-von-servicevertraegen-optimal-nutzen/")</f>
        <v>/news-und-events/neuigkeiten/gesundheitswesen/das-potenzial-von-servicevertraegen-optimal-nutzen/</v>
      </c>
    </row>
    <row r="117">
      <c r="A117" s="0">
        <v>116</v>
      </c>
      <c r="B117" t="str" s="3">
        <f>HYPERLINK("https://www.getinge.com/int/insights/updates/healthcare/getting-the-most-out-of-service-contracts/","/insights/updates/healthcare/getting-the-most-out-of-service-contracts/")</f>
        <v>/insights/updates/healthcare/getting-the-most-out-of-service-contracts/</v>
      </c>
      <c r="C117" t="inlineStr" s="2">
        <is>
          <t xml:space="preserve">Another consideration is access to proprietary resources. Getinge has exclusive access to original spare parts, software updates, technical bulletins, and safety notifications. These resources support consistent maintenance practices and help ensure that equipment remains aligned with the manufacturer's recommended performance and safety standards.</t>
        </is>
      </c>
      <c r="D117" t="inlineStr" s="2">
        <is>
          <t xml:space="preserve">Ein weiterer wichtiger Aspekt ist der Zugang zu herstellerspezifischen Ressourcen. Getinge verfügt exklusiv über Originalersatzteile, Software-Updates, technische Mitteilungen und sicherheitsrelevante Informationen. Diese Ressourcen unterstützen konsistente Wartungsprozesse und tragen dazu bei, dass Geräte weiterhin den empfohlenen Leistungs- und Sicherheitsstandards des Herstellers entsprechen.</t>
        </is>
      </c>
      <c r="E117" t="inlineStr" s="0">
        <is>
          <t xml:space="preserve">Medium</t>
        </is>
      </c>
      <c r="F117" s="4"/>
      <c r="G117" t="inlineStr" s="2">
        <is>
          <t xml:space="preserve">Serviceverträge sind ein wichtiger Faktor, um die Verfügbarkeit medizintechnischer Geräte sicherzustellen und gleichzeitig Kosten planbar zu halten. In diesem Interview erläutert Duane Hawkins, Service-Experte bei Getinge, worauf es bei einer hochwertigen Servicepartnerschaft ankommt und wie proaktive Wartung zu einem zuverlässigen Krankenhausbetrieb beiträgt.</t>
        </is>
      </c>
      <c r="H117" t="inlineStr" s="2">
        <is>
          <t xml:space="preserve">Auch die Ausgestaltung eines Servicevertrags kann Einfluss auf die Geschwindigkeit und Effizienz des technischen Supports haben. Einige Servicevereinbarungen beinhalten beispielsweise priorisierte Reaktionszeiten und klar definierte Supportprozesse. Dadurch lassen sich administrative Verzögerungen reduzieren und Probleme bei Geräteausfällen schneller lösen.</t>
        </is>
      </c>
      <c r="I117" t="inlineStr" s="2">
        <is>
          <t xml:space="preserve">Getinge überwacht die Wirksamkeit seiner Serviceleistungen kontinuierlich anhand relevanter Leistungskennzahlen, darunter Reaktionszeiten, Lösungsquoten und Geräteverfügbarkeit. Die laufende Analyse dieser Kennzahlen liefert wertvolle Erkenntnisse über die Servicequalität und unterstützt fundierte Entscheidungen bei der Auswahl von Wartungsstrategien und Servicepartnern.</t>
        </is>
      </c>
      <c r="J117" s="4"/>
      <c r="K117" s="2"/>
      <c r="L117" t="str" s="3">
        <f>HYPERLINK("https://www.getinge.com/de/news-und-events/neuigkeiten/gesundheitswesen/das-potenzial-von-servicevertraegen-optimal-nutzen/","/news-und-events/neuigkeiten/gesundheitswesen/das-potenzial-von-servicevertraegen-optimal-nutzen/")</f>
        <v>/news-und-events/neuigkeiten/gesundheitswesen/das-potenzial-von-servicevertraegen-optimal-nutzen/</v>
      </c>
    </row>
    <row r="118">
      <c r="A118" s="0">
        <v>117</v>
      </c>
      <c r="B118" t="str" s="3">
        <f>HYPERLINK("https://www.getinge.com/int/insights/updates/healthcare/getting-the-most-out-of-service-contracts/","/insights/updates/healthcare/getting-the-most-out-of-service-contracts/")</f>
        <v>/insights/updates/healthcare/getting-the-most-out-of-service-contracts/</v>
      </c>
      <c r="C118" t="inlineStr" s="2">
        <is>
          <t xml:space="preserve">Service arrangements may also influence the speed and efficiency of technical support. For example, some service contracts include priority response provisions and predefined support procedures. These measures can help reduce administrative delays and contribute to faster issue resolution when equipment failures occur.</t>
        </is>
      </c>
      <c r="D118" t="inlineStr" s="2">
        <is>
          <t xml:space="preserve">Auch die Ausgestaltung eines Servicevertrags kann Einfluss auf die Geschwindigkeit und Effizienz des technischen Supports haben. Einige Servicevereinbarungen beinhalten beispielsweise priorisierte Reaktionszeiten und klar definierte Supportprozesse. Dadurch lassen sich administrative Verzögerungen reduzieren und Probleme bei Geräteausfällen schneller lösen.</t>
        </is>
      </c>
      <c r="E118" t="inlineStr" s="0">
        <is>
          <t xml:space="preserve">Medium</t>
        </is>
      </c>
      <c r="F118" s="4"/>
      <c r="G118" t="inlineStr" s="2">
        <is>
          <t xml:space="preserve">Duane Hawkins: Gesundheitseinrichtungen stehen häufig unter Budgetdruck, was sich direkt auf Entscheidungen rund um Wartung und Serviceleistungen auswirkt. Deshalb entscheiden sich manche Einrichtungen für Wartungsverträge, die sich ausschließlich auf präventive Wartungsmaßnahmen konzentrieren und weitergehende Reparatur- oder Supportleistungen ausschließen.</t>
        </is>
      </c>
      <c r="H118" t="inlineStr" s="2">
        <is>
          <t xml:space="preserve">Getinge überwacht die Wirksamkeit seiner Serviceleistungen kontinuierlich anhand relevanter Leistungskennzahlen, darunter Reaktionszeiten, Lösungsquoten und Geräteverfügbarkeit. Die laufende Analyse dieser Kennzahlen liefert wertvolle Erkenntnisse über die Servicequalität und unterstützt fundierte Entscheidungen bei der Auswahl von Wartungsstrategien und Servicepartnern.</t>
        </is>
      </c>
      <c r="I118" t="inlineStr" s="2">
        <is>
          <t xml:space="preserve">Duane Hawkins: In Gesundheitseinrichtungen – insbesondere im Operationssaal, auf Intensivstationen und in der AEMP – ist es entscheidend, ungeplante Geräteausfälle zu minimieren. Zuverlässige Medizintechnik ist unerlässlich, um die Patientensicherheit zu gewährleisten, klinische Abläufe zu unterstützen und eine effiziente Patientenversorgung sicherzustellen.</t>
        </is>
      </c>
      <c r="J118" s="4"/>
      <c r="K118" s="2"/>
      <c r="L118" t="str" s="3">
        <f>HYPERLINK("https://www.getinge.com/de/news-und-events/neuigkeiten/gesundheitswesen/das-potenzial-von-servicevertraegen-optimal-nutzen/","/news-und-events/neuigkeiten/gesundheitswesen/das-potenzial-von-servicevertraegen-optimal-nutzen/")</f>
        <v>/news-und-events/neuigkeiten/gesundheitswesen/das-potenzial-von-servicevertraegen-optimal-nutzen/</v>
      </c>
    </row>
    <row r="119">
      <c r="A119" s="0">
        <v>118</v>
      </c>
      <c r="B119" t="str" s="3">
        <f>HYPERLINK("https://www.getinge.com/int/insights/updates/healthcare/getting-the-most-out-of-service-contracts/","/insights/updates/healthcare/getting-the-most-out-of-service-contracts/")</f>
        <v>/insights/updates/healthcare/getting-the-most-out-of-service-contracts/</v>
      </c>
      <c r="C119" t="inlineStr" s="2">
        <is>
          <t xml:space="preserve">Getinge continually measures service effectiveness through proactive monitoring of key performance indicators, including but not limited to response times, resolutions rates and equipment uptime. Ongoing evaluation of these metrics provides valuable insights into service quality and support informed decisions when evaluating maintenance requirements and service provider selection.</t>
        </is>
      </c>
      <c r="D119" t="inlineStr" s="2">
        <is>
          <t xml:space="preserve">Getinge überwacht die Wirksamkeit seiner Serviceleistungen kontinuierlich anhand relevanter Leistungskennzahlen, darunter Reaktionszeiten, Lösungsquoten und Geräteverfügbarkeit. Die laufende Analyse dieser Kennzahlen liefert wertvolle Erkenntnisse über die Servicequalität und unterstützt fundierte Entscheidungen bei der Auswahl von Wartungsstrategien und Servicepartnern.</t>
        </is>
      </c>
      <c r="E119" t="inlineStr" s="0">
        <is>
          <t xml:space="preserve">Low</t>
        </is>
      </c>
      <c r="F119" s="4"/>
      <c r="G119" t="inlineStr" s="2">
        <is>
          <t xml:space="preserve">Die Leistungsfähigkeit einer Serviceorganisation hängt maßgeblich von der technischen Kompetenz, dem Produktwissen und der Erfahrung ihrer Ingenieur:innen und Techniker:innen ab. Getinge legt daher großen Wert auf hochwertige Schulungen sowie die kontinuierliche Bewertung und Weiterentwicklung seiner Serviceteams. So wird sichergestellt, dass Geräte gemäß den Herstellervorgaben gewartet werden, Ausfallrisiken reduziert und stabile klinische Abläufe unterstützt werden.</t>
        </is>
      </c>
      <c r="H119" t="inlineStr" s="2">
        <is>
          <t xml:space="preserve">Duane Hawkins: Die Qualität und Wirksamkeit der Wartung medizintechnischer Geräte wird von verschiedenen Faktoren beeinflusst, darunter technisches Fachwissen, der Zugang zu Herstellerinformationen sowie die Verfügbarkeit freigegebener Ersatzteile. Gesundheitseinrichtungen können Wartungsleistungen entweder direkt vom Originalgerätehersteller (OEM) oder von unabhängigen Serviceanbietern beziehen – abhängig von ihren Anforderungen und ihrer Service-Strategie.</t>
        </is>
      </c>
      <c r="I119" t="inlineStr" s="2">
        <is>
          <t xml:space="preserve">Ein weiterer wichtiger Aspekt ist der Zugang zu herstellerspezifischen Ressourcen. Getinge verfügt exklusiv über Originalersatzteile, Software-Updates, technische Mitteilungen und sicherheitsrelevante Informationen. Diese Ressourcen unterstützen konsistente Wartungsprozesse und tragen dazu bei, dass Geräte weiterhin den empfohlenen Leistungs- und Sicherheitsstandards des Herstellers entsprechen.</t>
        </is>
      </c>
      <c r="J119" s="4"/>
      <c r="K119" s="2"/>
      <c r="L119" t="str" s="3">
        <f>HYPERLINK("https://www.getinge.com/de/news-und-events/neuigkeiten/gesundheitswesen/das-potenzial-von-servicevertraegen-optimal-nutzen/","/news-und-events/neuigkeiten/gesundheitswesen/das-potenzial-von-servicevertraegen-optimal-nutzen/")</f>
        <v>/news-und-events/neuigkeiten/gesundheitswesen/das-potenzial-von-servicevertraegen-optimal-nutzen/</v>
      </c>
    </row>
    <row r="120">
      <c r="A120" s="0">
        <v>119</v>
      </c>
      <c r="B120" t="str" s="3">
        <f>HYPERLINK("https://www.getinge.com/int/insights/updates/healthcare/getting-the-most-out-of-service-contracts/","/insights/updates/healthcare/getting-the-most-out-of-service-contracts/")</f>
        <v>/insights/updates/healthcare/getting-the-most-out-of-service-contracts/</v>
      </c>
      <c r="C120" t="inlineStr" s="2">
        <is>
          <t xml:space="preserve">What role do Getinge service technicians play, and why are they so important?</t>
        </is>
      </c>
      <c r="D120" t="inlineStr" s="2">
        <is>
          <t xml:space="preserve">Welche Rolle spielen die Getinge-Servicetechniker*innen – und warum sind sie so wichtig?</t>
        </is>
      </c>
      <c r="E120" t="inlineStr" s="0">
        <is>
          <t xml:space="preserve">Medium</t>
        </is>
      </c>
      <c r="F120" s="4"/>
      <c r="G120" t="inlineStr" s="2">
        <is>
          <t xml:space="preserve">Welche Rolle spielt die Expertise des Originalgeräteherstellers (OEM) bei Service und Wartung von Medizintechnik?</t>
        </is>
      </c>
      <c r="H120" t="inlineStr" s="2">
        <is>
          <t xml:space="preserve">Einige Krankenhäuser verfügen über eigene Medizintechnik-Teams. Arbeiten Sie mit diesen zusammen?</t>
        </is>
      </c>
      <c r="I120" t="inlineStr" s="2">
        <is>
          <t xml:space="preserve">Was macht einen Servicevertrag effektiv – und warum ist er wichtig für Verfügbarkeit und wirtschaftliche Effizienz?</t>
        </is>
      </c>
      <c r="J120" s="4"/>
      <c r="K120" s="2"/>
      <c r="L120" t="str" s="3">
        <f>HYPERLINK("https://www.getinge.com/de/news-und-events/neuigkeiten/gesundheitswesen/das-potenzial-von-servicevertraegen-optimal-nutzen/","/news-und-events/neuigkeiten/gesundheitswesen/das-potenzial-von-servicevertraegen-optimal-nutzen/")</f>
        <v>/news-und-events/neuigkeiten/gesundheitswesen/das-potenzial-von-servicevertraegen-optimal-nutzen/</v>
      </c>
    </row>
    <row r="121">
      <c r="A121" s="0">
        <v>120</v>
      </c>
      <c r="B121" t="str" s="3">
        <f>HYPERLINK("https://www.getinge.com/int/insights/updates/healthcare/getting-the-most-out-of-service-contracts/","/insights/updates/healthcare/getting-the-most-out-of-service-contracts/")</f>
        <v>/insights/updates/healthcare/getting-the-most-out-of-service-contracts/</v>
      </c>
      <c r="C121" t="inlineStr" s="2">
        <is>
          <t xml:space="preserve">Duane Hawkins: Getinge service technicians play a critical role in maintaining the performance, reliability and safety of Getinge medical devices. As the face of service, they are responsible for diagnosing issues, carrying out repairs and performing preventative maintenance.</t>
        </is>
      </c>
      <c r="D121" t="inlineStr" s="2">
        <is>
          <t xml:space="preserve">Duane Hawkins: Die Servicetechniker*innen von Getinge spielen eine zentrale Rolle bei der Sicherstellung von Leistung, Zuverlässigkeit und Sicherheit von Getinge-Medizintechnik. Als direkte Ansprechpartner im Service sind sie für die Fehlerdiagnose, Reparaturen und die Durchführung präventiver Wartungsmaßnahmen verantwortlich.</t>
        </is>
      </c>
      <c r="E121" t="inlineStr" s="0">
        <is>
          <t xml:space="preserve">Medium</t>
        </is>
      </c>
      <c r="F121" s="4"/>
      <c r="G121" t="inlineStr" s="2">
        <is>
          <t xml:space="preserve">Duane Hawkins: Ja, selbstverständlich. Während viele Gesundheitseinrichtungen auf externe Servicepartner setzen, verfügen größere Krankenhäuser häufig über eigene technische Teams. Getinge unterstützt dieses Modell durch technische Schulungen, Zertifizierungsprogramme, Dokumentation sowie den Zugang zu Ersatzteilen.</t>
        </is>
      </c>
      <c r="H121" t="inlineStr" s="2">
        <is>
          <t xml:space="preserve">Serviceverträge sind ein wichtiger Faktor, um die Verfügbarkeit medizintechnischer Geräte sicherzustellen und gleichzeitig Kosten planbar zu halten. In diesem Interview erläutert Duane Hawkins, Service-Experte bei Getinge, worauf es bei einer hochwertigen Servicepartnerschaft ankommt und wie proaktive Wartung zu einem zuverlässigen Krankenhausbetrieb beiträgt.</t>
        </is>
      </c>
      <c r="I121" t="inlineStr" s="2">
        <is>
          <t xml:space="preserve">Duane Hawkins: Gesundheitseinrichtungen stehen häufig unter Budgetdruck, was sich direkt auf Entscheidungen rund um Wartung und Serviceleistungen auswirkt. Deshalb entscheiden sich manche Einrichtungen für Wartungsverträge, die sich ausschließlich auf präventive Wartungsmaßnahmen konzentrieren und weitergehende Reparatur- oder Supportleistungen ausschließen.</t>
        </is>
      </c>
      <c r="J121" s="4"/>
      <c r="K121" s="2"/>
      <c r="L121" t="str" s="3">
        <f>HYPERLINK("https://www.getinge.com/de/news-und-events/neuigkeiten/gesundheitswesen/das-potenzial-von-servicevertraegen-optimal-nutzen/","/news-und-events/neuigkeiten/gesundheitswesen/das-potenzial-von-servicevertraegen-optimal-nutzen/")</f>
        <v>/news-und-events/neuigkeiten/gesundheitswesen/das-potenzial-von-servicevertraegen-optimal-nutzen/</v>
      </c>
    </row>
    <row r="122">
      <c r="A122" s="0">
        <v>121</v>
      </c>
      <c r="B122" t="str" s="3">
        <f>HYPERLINK("https://www.getinge.com/int/insights/updates/healthcare/getting-the-most-out-of-service-contracts/","/insights/updates/healthcare/getting-the-most-out-of-service-contracts/")</f>
        <v>/insights/updates/healthcare/getting-the-most-out-of-service-contracts/</v>
      </c>
      <c r="C122" t="inlineStr" s="2">
        <is>
          <t xml:space="preserve">The effectiveness of a service organization depends largely on the technical competence, product knowledge, and experience of its engineering workforce. Getinge places a high focus on the quality of training, and dedication in continuous assessment of our trained engineers to ensure equipment is maintained according to manufacturer specifications, reducing risk of failures and support consistent clinical operations.</t>
        </is>
      </c>
      <c r="D122" t="inlineStr" s="2">
        <is>
          <t xml:space="preserve">Die Leistungsfähigkeit einer Serviceorganisation hängt maßgeblich von der technischen Kompetenz, dem Produktwissen und der Erfahrung ihrer Ingenieur:innen und Techniker:innen ab. Getinge legt daher großen Wert auf hochwertige Schulungen sowie die kontinuierliche Bewertung und Weiterentwicklung seiner Serviceteams. So wird sichergestellt, dass Geräte gemäß den Herstellervorgaben gewartet werden, Ausfallrisiken reduziert und stabile klinische Abläufe unterstützt werden.</t>
        </is>
      </c>
      <c r="E122" t="inlineStr" s="0">
        <is>
          <t xml:space="preserve">Medium</t>
        </is>
      </c>
      <c r="F122" s="4"/>
      <c r="G122" t="inlineStr" s="2">
        <is>
          <t xml:space="preserve">Getinge beschäftigt Ingenieur:innen und Servicetechniker:innen, die produktspezifisch geschult werden und Zugang zu detaillierter technischer Dokumentation haben, die über den gesamten Produktlebenszyklus hinweg entwickelt wurde. Dieses Wissen reicht von der Produktentwicklung und Konstruktion über Installation und Wartung bis hin zur Unterstützung am Ende des Produktlebenszyklus. Dadurch wird sichergestellt, dass Wartungsarbeiten gemäß den Herstellervorgaben durchgeführt werden.</t>
        </is>
      </c>
      <c r="H122" t="inlineStr" s="2">
        <is>
          <t xml:space="preserve">Duane Hawkins: Die Qualität und Wirksamkeit der Wartung medizintechnischer Geräte wird von verschiedenen Faktoren beeinflusst, darunter technisches Fachwissen, der Zugang zu Herstellerinformationen sowie die Verfügbarkeit freigegebener Ersatzteile. Gesundheitseinrichtungen können Wartungsleistungen entweder direkt vom Originalgerätehersteller (OEM) oder von unabhängigen Serviceanbietern beziehen – abhängig von ihren Anforderungen und ihrer Service-Strategie.</t>
        </is>
      </c>
      <c r="I122" t="inlineStr" s="2">
        <is>
          <t xml:space="preserve">Ein weiterer wichtiger Aspekt ist der Zugang zu herstellerspezifischen Ressourcen. Getinge verfügt exklusiv über Originalersatzteile, Software-Updates, technische Mitteilungen und sicherheitsrelevante Informationen. Diese Ressourcen unterstützen konsistente Wartungsprozesse und tragen dazu bei, dass Geräte weiterhin den empfohlenen Leistungs- und Sicherheitsstandards des Herstellers entsprechen.</t>
        </is>
      </c>
      <c r="J122" s="4"/>
      <c r="K122" s="2"/>
      <c r="L122" t="str" s="3">
        <f>HYPERLINK("https://www.getinge.com/de/news-und-events/neuigkeiten/gesundheitswesen/das-potenzial-von-servicevertraegen-optimal-nutzen/","/news-und-events/neuigkeiten/gesundheitswesen/das-potenzial-von-servicevertraegen-optimal-nutzen/")</f>
        <v>/news-und-events/neuigkeiten/gesundheitswesen/das-potenzial-von-servicevertraegen-optimal-nutzen/</v>
      </c>
    </row>
    <row r="123">
      <c r="A123" s="0">
        <v>122</v>
      </c>
      <c r="B123" t="str" s="3">
        <f>HYPERLINK("https://www.getinge.com/int/insights/updates/healthcare/getting-the-most-out-of-service-contracts/","/insights/updates/healthcare/getting-the-most-out-of-service-contracts/")</f>
        <v>/insights/updates/healthcare/getting-the-most-out-of-service-contracts/</v>
      </c>
      <c r="C123" t="inlineStr" s="2">
        <is>
          <t xml:space="preserve">Additionally, Getinge has dedicated Service Contracts Sales Managers, who collaborate with healthcare providers to identify equipment inventories, discuss requirements and risk profiles to determine the most effective maintenance strategies.</t>
        </is>
      </c>
      <c r="D123" t="inlineStr" s="2">
        <is>
          <t xml:space="preserve">Darüber hinaus verfügt Getinge über spezialisierte Service Contract Sales Manager, die gemeinsam mit Gesundheitseinrichtungen Gerätebestände analysieren, Anforderungen und Risikoprofile bewerten und die jeweils passende Instandhaltungsstrategie entwickeln.</t>
        </is>
      </c>
      <c r="E123" t="inlineStr" s="0">
        <is>
          <t xml:space="preserve">Medium</t>
        </is>
      </c>
      <c r="F123" s="4"/>
      <c r="G123" t="inlineStr" s="2">
        <is>
          <t xml:space="preserve">Umfassendere Serviceleistungen – beispielsweise Getinge Care Premium – kombinieren geplante Wartungsmaßnahmen mit reaktiven Serviceleistungen. Dadurch lassen sich die Zuverlässigkeit von Geräten verbessern, ungeplante Ausfallzeiten reduzieren und Budgets besser planen.</t>
        </is>
      </c>
      <c r="H123" t="inlineStr" s="2">
        <is>
          <t xml:space="preserve">Getinge verfolgt dabei einen partnerschaftlichen Ansatz: Gemeinsam mit den relevanten Stakeholdern werden Anforderungen analysiert und passende Lösungen entwickelt, um die Leistungsfähigkeit der Geräte zu maximieren, ihre Verfügbarkeit zu erhöhen und eine sichere sowie effektive Patientenversorgung zu unterstützen.</t>
        </is>
      </c>
      <c r="I123" t="inlineStr" s="2">
        <is>
          <t xml:space="preserve">Duane Hawkins: Ja, selbstverständlich. Während viele Gesundheitseinrichtungen auf externe Servicepartner setzen, verfügen größere Krankenhäuser häufig über eigene technische Teams. Getinge unterstützt dieses Modell durch technische Schulungen, Zertifizierungsprogramme, Dokumentation sowie den Zugang zu Ersatzteilen.</t>
        </is>
      </c>
      <c r="J123" s="4"/>
      <c r="K123" s="2"/>
      <c r="L123" t="str" s="3">
        <f>HYPERLINK("https://www.getinge.com/de/news-und-events/neuigkeiten/gesundheitswesen/das-potenzial-von-servicevertraegen-optimal-nutzen/","/news-und-events/neuigkeiten/gesundheitswesen/das-potenzial-von-servicevertraegen-optimal-nutzen/")</f>
        <v>/news-und-events/neuigkeiten/gesundheitswesen/das-potenzial-von-servicevertraegen-optimal-nutzen/</v>
      </c>
    </row>
    <row r="124">
      <c r="A124" s="0">
        <v>123</v>
      </c>
      <c r="B124" t="str" s="3">
        <f>HYPERLINK("https://www.getinge.com/int/insights/updates/healthcare/getting-the-most-out-of-service-contracts/","/insights/updates/healthcare/getting-the-most-out-of-service-contracts/")</f>
        <v>/insights/updates/healthcare/getting-the-most-out-of-service-contracts/</v>
      </c>
      <c r="C124" t="inlineStr" s="2">
        <is>
          <t xml:space="preserve">Collaborative approaches are widely adopted within public healthcare systems, where balancing equipment reliability, compliance, and efficiency are particularly important.</t>
        </is>
      </c>
      <c r="D124" t="inlineStr" s="2">
        <is>
          <t xml:space="preserve">Dieser partnerschaftliche Ansatz wird insbesondere in öffentlichen Gesundheitssystemen geschätzt, in denen Zuverlässigkeit, Compliance und Effizienz gleichermaßen wichtig sind.</t>
        </is>
      </c>
      <c r="E124" t="inlineStr" s="0">
        <is>
          <t xml:space="preserve">Medium</t>
        </is>
      </c>
      <c r="F124" s="4"/>
      <c r="G124" t="inlineStr" s="2">
        <is>
          <t xml:space="preserve">Die Wahl des passenden Leistungsumfangs auf Basis einer Bewertung der Anforderungen und Risiken ermöglicht es, die Instandhaltungsstrategie optimal an klinische und wirtschaftliche Ziele anzupassen.</t>
        </is>
      </c>
      <c r="H124" t="inlineStr" s="2">
        <is>
          <t xml:space="preserve">Bei der Auswahl eines Servicevertrags sollten kurzfristige Kostenerwägungen daher immer gegen die potenziellen betrieblichen und finanziellen Auswirkungen unerwarteter Geräteausfälle abgewogen werden.</t>
        </is>
      </c>
      <c r="I124" t="inlineStr" s="2">
        <is>
          <t xml:space="preserve">Regelmäßige Schulungen und Rezertifizierungen helfen dabei sicherzustellen, dass die internen Techniker:innen stets mit aktuellen Wartungsverfahren, regulatorischen Anforderungen und Produktupdates vertraut sind.</t>
        </is>
      </c>
      <c r="J124" s="4"/>
      <c r="K124" s="2"/>
      <c r="L124" t="str" s="3">
        <f>HYPERLINK("https://www.getinge.com/de/news-und-events/neuigkeiten/gesundheitswesen/das-potenzial-von-servicevertraegen-optimal-nutzen/","/news-und-events/neuigkeiten/gesundheitswesen/das-potenzial-von-servicevertraegen-optimal-nutzen/")</f>
        <v>/news-und-events/neuigkeiten/gesundheitswesen/das-potenzial-von-servicevertraegen-optimal-nutzen/</v>
      </c>
    </row>
    <row r="125">
      <c r="A125" s="0">
        <v>124</v>
      </c>
      <c r="B125" t="str" s="3">
        <f>HYPERLINK("https://www.getinge.com/int/insights/updates/healthcare/getting-the-most-out-of-service-contracts/","/insights/updates/healthcare/getting-the-most-out-of-service-contracts/")</f>
        <v>/insights/updates/healthcare/getting-the-most-out-of-service-contracts/</v>
      </c>
      <c r="C125" t="inlineStr" s="2">
        <is>
          <t xml:space="preserve">Some hospitals have their own biomedical engineering teams – do you collaborate with them?</t>
        </is>
      </c>
      <c r="D125" t="inlineStr" s="2">
        <is>
          <t xml:space="preserve">Einige Krankenhäuser verfügen über eigene Medizintechnik-Teams. Arbeiten Sie mit diesen zusammen?</t>
        </is>
      </c>
      <c r="E125" t="inlineStr" s="0">
        <is>
          <t xml:space="preserve">Low</t>
        </is>
      </c>
      <c r="F125" s="4"/>
      <c r="G125" t="inlineStr" s="2">
        <is>
          <t xml:space="preserve">Welche Rolle spielt die Expertise des Originalgeräteherstellers (OEM) bei Service und Wartung von Medizintechnik?</t>
        </is>
      </c>
      <c r="H125" t="inlineStr" s="2">
        <is>
          <t xml:space="preserve">Was macht einen Servicevertrag effektiv – und warum ist er wichtig für Verfügbarkeit und wirtschaftliche Effizienz?</t>
        </is>
      </c>
      <c r="I125" t="inlineStr" s="2">
        <is>
          <t xml:space="preserve">Welche Rolle spielen die Getinge-Servicetechniker*innen – und warum sind sie so wichtig?</t>
        </is>
      </c>
      <c r="J125" s="4"/>
      <c r="K125" s="2"/>
      <c r="L125" t="str" s="3">
        <f>HYPERLINK("https://www.getinge.com/de/news-und-events/neuigkeiten/gesundheitswesen/das-potenzial-von-servicevertraegen-optimal-nutzen/","/news-und-events/neuigkeiten/gesundheitswesen/das-potenzial-von-servicevertraegen-optimal-nutzen/")</f>
        <v>/news-und-events/neuigkeiten/gesundheitswesen/das-potenzial-von-servicevertraegen-optimal-nutzen/</v>
      </c>
    </row>
    <row r="126">
      <c r="A126" s="0">
        <v>125</v>
      </c>
      <c r="B126" t="str" s="3">
        <f>HYPERLINK("https://www.getinge.com/int/insights/updates/healthcare/getting-the-most-out-of-service-contracts/","/insights/updates/healthcare/getting-the-most-out-of-service-contracts/")</f>
        <v>/insights/updates/healthcare/getting-the-most-out-of-service-contracts/</v>
      </c>
      <c r="C126" t="inlineStr" s="2">
        <is>
          <t xml:space="preserve">Duane Hawkins: While many healthcare organizations rely on external service partners for equipment maintenance, some larger hospitals maintain their own in-house engineering teams. Getinge supports this model by providing hospital-based technicians with access to technical training, certification programs, documentation, and access to replacement parts.</t>
        </is>
      </c>
      <c r="D126" t="inlineStr" s="2">
        <is>
          <t xml:space="preserve">Duane Hawkins: Ja, selbstverständlich. Während viele Gesundheitseinrichtungen auf externe Servicepartner setzen, verfügen größere Krankenhäuser häufig über eigene technische Teams. Getinge unterstützt dieses Modell durch technische Schulungen, Zertifizierungsprogramme, Dokumentation sowie den Zugang zu Ersatzteilen.</t>
        </is>
      </c>
      <c r="E126" t="inlineStr" s="0">
        <is>
          <t xml:space="preserve">Medium</t>
        </is>
      </c>
      <c r="F126" s="4"/>
      <c r="G126" t="inlineStr" s="2">
        <is>
          <t xml:space="preserve">Serviceverträge sind ein wichtiger Faktor, um die Verfügbarkeit medizintechnischer Geräte sicherzustellen und gleichzeitig Kosten planbar zu halten. In diesem Interview erläutert Duane Hawkins, Service-Experte bei Getinge, worauf es bei einer hochwertigen Servicepartnerschaft ankommt und wie proaktive Wartung zu einem zuverlässigen Krankenhausbetrieb beiträgt.</t>
        </is>
      </c>
      <c r="H126" t="inlineStr" s="2">
        <is>
          <t xml:space="preserve">Duane Hawkins: Gesundheitseinrichtungen stehen häufig unter Budgetdruck, was sich direkt auf Entscheidungen rund um Wartung und Serviceleistungen auswirkt. Deshalb entscheiden sich manche Einrichtungen für Wartungsverträge, die sich ausschließlich auf präventive Wartungsmaßnahmen konzentrieren und weitergehende Reparatur- oder Supportleistungen ausschließen.</t>
        </is>
      </c>
      <c r="I126" t="inlineStr" s="2">
        <is>
          <t xml:space="preserve">Duane Hawkins: Die Qualität und Wirksamkeit der Wartung medizintechnischer Geräte wird von verschiedenen Faktoren beeinflusst, darunter technisches Fachwissen, der Zugang zu Herstellerinformationen sowie die Verfügbarkeit freigegebener Ersatzteile. Gesundheitseinrichtungen können Wartungsleistungen entweder direkt vom Originalgerätehersteller (OEM) oder von unabhängigen Serviceanbietern beziehen – abhängig von ihren Anforderungen und ihrer Service-Strategie.</t>
        </is>
      </c>
      <c r="J126" s="4"/>
      <c r="K126" s="2"/>
      <c r="L126" t="str" s="3">
        <f>HYPERLINK("https://www.getinge.com/de/news-und-events/neuigkeiten/gesundheitswesen/das-potenzial-von-servicevertraegen-optimal-nutzen/","/news-und-events/neuigkeiten/gesundheitswesen/das-potenzial-von-servicevertraegen-optimal-nutzen/")</f>
        <v>/news-und-events/neuigkeiten/gesundheitswesen/das-potenzial-von-servicevertraegen-optimal-nutzen/</v>
      </c>
    </row>
    <row r="127">
      <c r="A127" s="0">
        <v>126</v>
      </c>
      <c r="B127" t="str" s="3">
        <f>HYPERLINK("https://www.getinge.com/int/insights/updates/healthcare/getting-the-most-out-of-service-contracts/","/insights/updates/healthcare/getting-the-most-out-of-service-contracts/")</f>
        <v>/insights/updates/healthcare/getting-the-most-out-of-service-contracts/</v>
      </c>
      <c r="C127" t="inlineStr" s="2">
        <is>
          <t xml:space="preserve">Ongoing training and recertification help ensure that in-house personnel remain familiar with current maintenance procedures, regulatory requirements and product updates.</t>
        </is>
      </c>
      <c r="D127" t="inlineStr" s="2">
        <is>
          <t xml:space="preserve">Regelmäßige Schulungen und Rezertifizierungen helfen dabei sicherzustellen, dass die internen Techniker:innen stets mit aktuellen Wartungsverfahren, regulatorischen Anforderungen und Produktupdates vertraut sind.</t>
        </is>
      </c>
      <c r="E127" t="inlineStr" s="0">
        <is>
          <t xml:space="preserve">Medium</t>
        </is>
      </c>
      <c r="F127" s="4"/>
      <c r="G127" t="inlineStr" s="2">
        <is>
          <t xml:space="preserve">Die Wahl des passenden Leistungsumfangs auf Basis einer Bewertung der Anforderungen und Risiken ermöglicht es, die Instandhaltungsstrategie optimal an klinische und wirtschaftliche Ziele anzupassen.</t>
        </is>
      </c>
      <c r="H127" t="inlineStr" s="2">
        <is>
          <t xml:space="preserve">Bei der Auswahl eines Servicevertrags sollten kurzfristige Kostenerwägungen daher immer gegen die potenziellen betrieblichen und finanziellen Auswirkungen unerwarteter Geräteausfälle abgewogen werden.</t>
        </is>
      </c>
      <c r="I127" t="inlineStr" s="2">
        <is>
          <t xml:space="preserve">Dieser partnerschaftliche Ansatz wird insbesondere in öffentlichen Gesundheitssystemen geschätzt, in denen Zuverlässigkeit, Compliance und Effizienz gleichermaßen wichtig sind.</t>
        </is>
      </c>
      <c r="J127" s="4"/>
      <c r="K127" s="2"/>
      <c r="L127" t="str" s="3">
        <f>HYPERLINK("https://www.getinge.com/de/news-und-events/neuigkeiten/gesundheitswesen/das-potenzial-von-servicevertraegen-optimal-nutzen/","/news-und-events/neuigkeiten/gesundheitswesen/das-potenzial-von-servicevertraegen-optimal-nutzen/")</f>
        <v>/news-und-events/neuigkeiten/gesundheitswesen/das-potenzial-von-servicevertraegen-optimal-nutzen/</v>
      </c>
    </row>
    <row r="128">
      <c r="A128" s="0">
        <v>127</v>
      </c>
      <c r="B128" t="str" s="3">
        <f>HYPERLINK("https://www.getinge.com/int/insights/updates/healthcare/getting-the-most-out-of-service-contracts/","/insights/updates/healthcare/getting-the-most-out-of-service-contracts/")</f>
        <v>/insights/updates/healthcare/getting-the-most-out-of-service-contracts/</v>
      </c>
      <c r="C128" t="inlineStr" s="2">
        <is>
          <t xml:space="preserve">What conclusion can be drawn when it comes to service contracts?</t>
        </is>
      </c>
      <c r="D128" s="2"/>
      <c r="F128" s="4"/>
      <c r="G128" t="inlineStr" s="2">
        <is>
          <t xml:space="preserve">Serviceverträge helfen dabei, diese Risiken zu reduzieren.</t>
        </is>
      </c>
      <c r="H128" t="inlineStr" s="2">
        <is>
          <t xml:space="preserve">Welche Rolle spielen die Getinge-Servicetechniker*innen – und warum sind sie so wichtig?</t>
        </is>
      </c>
      <c r="I128" t="inlineStr" s="2">
        <is>
          <t xml:space="preserve">Welches Fazit lässt sich zum Thema Serviceverträge ziehen?</t>
        </is>
      </c>
      <c r="J128" s="4"/>
      <c r="K128" s="2"/>
      <c r="L128" t="str" s="3">
        <f>HYPERLINK("https://www.getinge.com/de/news-und-events/neuigkeiten/gesundheitswesen/das-potenzial-von-servicevertraegen-optimal-nutzen/","/news-und-events/neuigkeiten/gesundheitswesen/das-potenzial-von-servicevertraegen-optimal-nutzen/")</f>
        <v>/news-und-events/neuigkeiten/gesundheitswesen/das-potenzial-von-servicevertraegen-optimal-nutzen/</v>
      </c>
    </row>
    <row r="129">
      <c r="A129" s="0">
        <v>128</v>
      </c>
      <c r="B129" t="str" s="3">
        <f>HYPERLINK("https://www.getinge.com/int/insights/updates/healthcare/getting-the-most-out-of-service-contracts/","/insights/updates/healthcare/getting-the-most-out-of-service-contracts/")</f>
        <v>/insights/updates/healthcare/getting-the-most-out-of-service-contracts/</v>
      </c>
      <c r="C129" t="inlineStr" s="2">
        <is>
          <t xml:space="preserve">Duane Hawkins: Healthcare providers frequently face budget challenges that influence decisions regarding equipment maintenance and service coverage. As a result, some facilities may choose maintenance agreements which focus primarily on preventative maintenance, excluding broader repair and support services.</t>
        </is>
      </c>
      <c r="D129" t="inlineStr" s="2">
        <is>
          <t xml:space="preserve">Duane Hawkins: Gesundheitseinrichtungen stehen häufig unter Budgetdruck, was sich direkt auf Entscheidungen rund um Wartung und Serviceleistungen auswirkt. Deshalb entscheiden sich manche Einrichtungen für Wartungsverträge, die sich ausschließlich auf präventive Wartungsmaßnahmen konzentrieren und weitergehende Reparatur- oder Supportleistungen ausschließen.</t>
        </is>
      </c>
      <c r="E129" t="inlineStr" s="0">
        <is>
          <t xml:space="preserve">Medium</t>
        </is>
      </c>
      <c r="F129" s="4"/>
      <c r="G129" t="inlineStr" s="2">
        <is>
          <t xml:space="preserve">Duane Hawkins: Die Servicetechniker*innen von Getinge spielen eine zentrale Rolle bei der Sicherstellung von Leistung, Zuverlässigkeit und Sicherheit von Getinge-Medizintechnik. Als direkte Ansprechpartner im Service sind sie für die Fehlerdiagnose, Reparaturen und die Durchführung präventiver Wartungsmaßnahmen verantwortlich.</t>
        </is>
      </c>
      <c r="H129" t="inlineStr" s="2">
        <is>
          <t xml:space="preserve">Gesundheitseinrichtungen können je nach ihren betrieblichen Anforderungen und Budgetvorgaben zwischen unterschiedlichen Vertragsmodellen wählen. Diese reichen von Verträgen mit geplanter präventiver Wartung (Planned Preventive Maintenance, PPM) bis hin zu umfassenderen Vereinbarungen, die auch korrektive Instandhaltung und Ersatzteile einschließen.</t>
        </is>
      </c>
      <c r="I129" t="inlineStr" s="2">
        <is>
          <t xml:space="preserve">Serviceverträge sind ein wichtiger Faktor, um die Verfügbarkeit medizintechnischer Geräte sicherzustellen und gleichzeitig Kosten planbar zu halten. In diesem Interview erläutert Duane Hawkins, Service-Experte bei Getinge, worauf es bei einer hochwertigen Servicepartnerschaft ankommt und wie proaktive Wartung zu einem zuverlässigen Krankenhausbetrieb beiträgt.</t>
        </is>
      </c>
      <c r="J129" s="4"/>
      <c r="K129" s="2"/>
      <c r="L129" t="str" s="3">
        <f>HYPERLINK("https://www.getinge.com/de/news-und-events/neuigkeiten/gesundheitswesen/das-potenzial-von-servicevertraegen-optimal-nutzen/","/news-und-events/neuigkeiten/gesundheitswesen/das-potenzial-von-servicevertraegen-optimal-nutzen/")</f>
        <v>/news-und-events/neuigkeiten/gesundheitswesen/das-potenzial-von-servicevertraegen-optimal-nutzen/</v>
      </c>
    </row>
    <row r="130">
      <c r="A130" s="0">
        <v>129</v>
      </c>
      <c r="B130" t="str" s="3">
        <f>HYPERLINK("https://www.getinge.com/int/insights/updates/healthcare/getting-the-most-out-of-service-contracts/","/insights/updates/healthcare/getting-the-most-out-of-service-contracts/")</f>
        <v>/insights/updates/healthcare/getting-the-most-out-of-service-contracts/</v>
      </c>
      <c r="C130" t="inlineStr" s="2">
        <is>
          <t xml:space="preserve">Although lower-cost maintenance only agreements may reduce short-term expenditure; it is important to consider the potential long-term implications. Equipment failures that require service parts can result in unplanned costs, service interruptions, and operational delays. In critical environments, these disruptions may affect workflow efficiency and place additional demands on staff and resources.</t>
        </is>
      </c>
      <c r="D130" t="inlineStr" s="2">
        <is>
          <t xml:space="preserve">Auch wenn solche Verträge kurzfristig Kosten sparen können, sollten die langfristigen Auswirkungen berücksichtigt werden. Geräteausfälle, bei denen Ersatzteile oder Reparaturen erforderlich werden, können ungeplante Kosten, Betriebsunterbrechungen und Verzögerungen verursachen. In kritischen Bereichen beeinträchtigen solche Störungen die Effizienz von Abläufen und erhöhen die Belastung für Personal und Ressourcen.</t>
        </is>
      </c>
      <c r="E130" t="inlineStr" s="0">
        <is>
          <t xml:space="preserve">Low</t>
        </is>
      </c>
      <c r="F130" s="4"/>
      <c r="G130" t="inlineStr" s="2">
        <is>
          <t xml:space="preserve">Die Leistungsfähigkeit einer Serviceorganisation hängt maßgeblich von der technischen Kompetenz, dem Produktwissen und der Erfahrung ihrer Ingenieur:innen und Techniker:innen ab. Getinge legt daher großen Wert auf hochwertige Schulungen sowie die kontinuierliche Bewertung und Weiterentwicklung seiner Serviceteams. So wird sichergestellt, dass Geräte gemäß den Herstellervorgaben gewartet werden, Ausfallrisiken reduziert und stabile klinische Abläufe unterstützt werden.</t>
        </is>
      </c>
      <c r="H130" t="inlineStr" s="2">
        <is>
          <t xml:space="preserve">Getinge beschäftigt Ingenieur:innen und Servicetechniker:innen, die produktspezifisch geschult werden und Zugang zu detaillierter technischer Dokumentation haben, die über den gesamten Produktlebenszyklus hinweg entwickelt wurde. Dieses Wissen reicht von der Produktentwicklung und Konstruktion über Installation und Wartung bis hin zur Unterstützung am Ende des Produktlebenszyklus. Dadurch wird sichergestellt, dass Wartungsarbeiten gemäß den Herstellervorgaben durchgeführt werden.</t>
        </is>
      </c>
      <c r="I130" t="inlineStr" s="2">
        <is>
          <t xml:space="preserve">Duane Hawkins: Die Qualität und Wirksamkeit der Wartung medizintechnischer Geräte wird von verschiedenen Faktoren beeinflusst, darunter technisches Fachwissen, der Zugang zu Herstellerinformationen sowie die Verfügbarkeit freigegebener Ersatzteile. Gesundheitseinrichtungen können Wartungsleistungen entweder direkt vom Originalgerätehersteller (OEM) oder von unabhängigen Serviceanbietern beziehen – abhängig von ihren Anforderungen und ihrer Service-Strategie.</t>
        </is>
      </c>
      <c r="J130" s="4"/>
      <c r="K130" s="2"/>
      <c r="L130" t="str" s="3">
        <f>HYPERLINK("https://www.getinge.com/de/news-und-events/neuigkeiten/gesundheitswesen/das-potenzial-von-servicevertraegen-optimal-nutzen/","/news-und-events/neuigkeiten/gesundheitswesen/das-potenzial-von-servicevertraegen-optimal-nutzen/")</f>
        <v>/news-und-events/neuigkeiten/gesundheitswesen/das-potenzial-von-servicevertraegen-optimal-nutzen/</v>
      </c>
    </row>
    <row r="131">
      <c r="A131" s="0">
        <v>130</v>
      </c>
      <c r="B131" t="str" s="3">
        <f>HYPERLINK("https://www.getinge.com/int/insights/updates/healthcare/getting-the-most-out-of-service-contracts/","/insights/updates/healthcare/getting-the-most-out-of-service-contracts/")</f>
        <v>/insights/updates/healthcare/getting-the-most-out-of-service-contracts/</v>
      </c>
      <c r="C131" t="inlineStr" s="2">
        <is>
          <t xml:space="preserve">More comprehensive maintenance coverage, such as Getinge Care – Premium, often combines scheduled maintenance and reactive services, helping to improve equipment reliability, reduce unplanned downtime and support more predictable budgeting.</t>
        </is>
      </c>
      <c r="D131" t="inlineStr" s="2">
        <is>
          <t xml:space="preserve">Umfassendere Serviceleistungen – beispielsweise Getinge Care Premium – kombinieren geplante Wartungsmaßnahmen mit reaktiven Serviceleistungen. Dadurch lassen sich die Zuverlässigkeit von Geräten verbessern, ungeplante Ausfallzeiten reduzieren und Budgets besser planen.</t>
        </is>
      </c>
      <c r="E131" t="inlineStr" s="0">
        <is>
          <t xml:space="preserve">Medium</t>
        </is>
      </c>
      <c r="F131" s="4"/>
      <c r="G131" t="inlineStr" s="2">
        <is>
          <t xml:space="preserve">Darüber hinaus verfügt Getinge über spezialisierte Service Contract Sales Manager, die gemeinsam mit Gesundheitseinrichtungen Gerätebestände analysieren, Anforderungen und Risikoprofile bewerten und die jeweils passende Instandhaltungsstrategie entwickeln.</t>
        </is>
      </c>
      <c r="H131" t="inlineStr" s="2">
        <is>
          <t xml:space="preserve">Duane Hawkins: Ja, selbstverständlich. Während viele Gesundheitseinrichtungen auf externe Servicepartner setzen, verfügen größere Krankenhäuser häufig über eigene technische Teams. Getinge unterstützt dieses Modell durch technische Schulungen, Zertifizierungsprogramme, Dokumentation sowie den Zugang zu Ersatzteilen.</t>
        </is>
      </c>
      <c r="I131" t="inlineStr" s="2">
        <is>
          <t xml:space="preserve">Duane Hawkins: Die Servicetechniker*innen von Getinge spielen eine zentrale Rolle bei der Sicherstellung von Leistung, Zuverlässigkeit und Sicherheit von Getinge-Medizintechnik. Als direkte Ansprechpartner im Service sind sie für die Fehlerdiagnose, Reparaturen und die Durchführung präventiver Wartungsmaßnahmen verantwortlich.</t>
        </is>
      </c>
      <c r="J131" s="4"/>
      <c r="K131" s="2"/>
      <c r="L131" t="str" s="3">
        <f>HYPERLINK("https://www.getinge.com/de/news-und-events/neuigkeiten/gesundheitswesen/das-potenzial-von-servicevertraegen-optimal-nutzen/","/news-und-events/neuigkeiten/gesundheitswesen/das-potenzial-von-servicevertraegen-optimal-nutzen/")</f>
        <v>/news-und-events/neuigkeiten/gesundheitswesen/das-potenzial-von-servicevertraegen-optimal-nutzen/</v>
      </c>
    </row>
    <row r="132">
      <c r="A132" s="0">
        <v>131</v>
      </c>
      <c r="B132" t="str" s="3">
        <f>HYPERLINK("https://www.getinge.com/int/insights/updates/healthcare/getting-the-most-out-of-service-contracts/","/insights/updates/healthcare/getting-the-most-out-of-service-contracts/")</f>
        <v>/insights/updates/healthcare/getting-the-most-out-of-service-contracts/</v>
      </c>
      <c r="C132" t="inlineStr" s="2">
        <is>
          <t xml:space="preserve">When evaluating service contract requirements, it is important to balance immediate cost considerations against potential operational and financial impacts of unexpected equipment failures.</t>
        </is>
      </c>
      <c r="D132" t="inlineStr" s="2">
        <is>
          <t xml:space="preserve">Bei der Auswahl eines Servicevertrags sollten kurzfristige Kostenerwägungen daher immer gegen die potenziellen betrieblichen und finanziellen Auswirkungen unerwarteter Geräteausfälle abgewogen werden.</t>
        </is>
      </c>
      <c r="E132" t="inlineStr" s="0">
        <is>
          <t xml:space="preserve">Medium</t>
        </is>
      </c>
      <c r="F132" s="4"/>
      <c r="G132" t="inlineStr" s="2">
        <is>
          <t xml:space="preserve">Darüber hinaus verfügt Getinge über spezialisierte Service Contract Sales Manager, die gemeinsam mit Gesundheitseinrichtungen Gerätebestände analysieren, Anforderungen und Risikoprofile bewerten und die jeweils passende Instandhaltungsstrategie entwickeln.</t>
        </is>
      </c>
      <c r="H132" t="inlineStr" s="2">
        <is>
          <t xml:space="preserve">Regelmäßige Schulungen und Rezertifizierungen helfen dabei sicherzustellen, dass die internen Techniker:innen stets mit aktuellen Wartungsverfahren, regulatorischen Anforderungen und Produktupdates vertraut sind.</t>
        </is>
      </c>
      <c r="I132" t="inlineStr" s="2">
        <is>
          <t xml:space="preserve">Die Wahl des passenden Leistungsumfangs auf Basis einer Bewertung der Anforderungen und Risiken ermöglicht es, die Instandhaltungsstrategie optimal an klinische und wirtschaftliche Ziele anzupassen.</t>
        </is>
      </c>
      <c r="J132" s="4"/>
      <c r="K132" s="2"/>
      <c r="L132" t="str" s="3">
        <f>HYPERLINK("https://www.getinge.com/de/news-und-events/neuigkeiten/gesundheitswesen/das-potenzial-von-servicevertraegen-optimal-nutzen/","/news-und-events/neuigkeiten/gesundheitswesen/das-potenzial-von-servicevertraegen-optimal-nutzen/")</f>
        <v>/news-und-events/neuigkeiten/gesundheitswesen/das-potenzial-von-servicevertraegen-optimal-nutzen/</v>
      </c>
    </row>
    <row r="133">
      <c r="A133" s="0">
        <v>132</v>
      </c>
      <c r="B133" t="str" s="3">
        <f>HYPERLINK("https://www.getinge.com/int/insights/updates/healthcare/getting-the-most-out-of-service-contracts/","/insights/updates/healthcare/getting-the-most-out-of-service-contracts/")</f>
        <v>/insights/updates/healthcare/getting-the-most-out-of-service-contracts/</v>
      </c>
      <c r="C133" t="inlineStr" s="2">
        <is>
          <t xml:space="preserve">Getinge offers a collaborative approach, engaging stakeholders to assess requirements and propose suitable solutions to maximize the effectiveness of the device's performance, enhance availability, and support the delivery of safe, effective patient care.</t>
        </is>
      </c>
      <c r="D133" t="inlineStr" s="2">
        <is>
          <t xml:space="preserve">Getinge verfolgt dabei einen partnerschaftlichen Ansatz: Gemeinsam mit den relevanten Stakeholdern werden Anforderungen analysiert und passende Lösungen entwickelt, um die Leistungsfähigkeit der Geräte zu maximieren, ihre Verfügbarkeit zu erhöhen und eine sichere sowie effektive Patientenversorgung zu unterstützen.</t>
        </is>
      </c>
      <c r="E133" t="inlineStr" s="0">
        <is>
          <t xml:space="preserve">Medium</t>
        </is>
      </c>
      <c r="F133" s="4"/>
      <c r="G133" t="inlineStr" s="2">
        <is>
          <t xml:space="preserve">Umfassendere Serviceleistungen – beispielsweise Getinge Care Premium – kombinieren geplante Wartungsmaßnahmen mit reaktiven Serviceleistungen. Dadurch lassen sich die Zuverlässigkeit von Geräten verbessern, ungeplante Ausfallzeiten reduzieren und Budgets besser planen.</t>
        </is>
      </c>
      <c r="H133" t="inlineStr" s="2">
        <is>
          <t xml:space="preserve">Duane Hawkins: Ja, selbstverständlich. Während viele Gesundheitseinrichtungen auf externe Servicepartner setzen, verfügen größere Krankenhäuser häufig über eigene technische Teams. Getinge unterstützt dieses Modell durch technische Schulungen, Zertifizierungsprogramme, Dokumentation sowie den Zugang zu Ersatzteilen.</t>
        </is>
      </c>
      <c r="I133" t="inlineStr" s="2">
        <is>
          <t xml:space="preserve">Darüber hinaus verfügt Getinge über spezialisierte Service Contract Sales Manager, die gemeinsam mit Gesundheitseinrichtungen Gerätebestände analysieren, Anforderungen und Risikoprofile bewerten und die jeweils passende Instandhaltungsstrategie entwickeln.</t>
        </is>
      </c>
      <c r="J133" s="4"/>
      <c r="K133" s="2"/>
      <c r="L133" t="str" s="3">
        <f>HYPERLINK("https://www.getinge.com/de/news-und-events/neuigkeiten/gesundheitswesen/das-potenzial-von-servicevertraegen-optimal-nutzen/","/news-und-events/neuigkeiten/gesundheitswesen/das-potenzial-von-servicevertraegen-optimal-nutzen/")</f>
        <v>/news-und-events/neuigkeiten/gesundheitswesen/das-potenzial-von-servicevertraegen-optimal-nutzen/</v>
      </c>
    </row>
    <row r="134">
      <c r="A134" s="0">
        <v>133</v>
      </c>
      <c r="B134" t="str" s="3">
        <f>HYPERLINK("https://www.getinge.com/int/insights/updates/healthcare/good-service-technicians-know-how-hospitals-work/","/insights/updates/healthcare/good-service-technicians-know-how-hospitals-work/")</f>
        <v>/insights/updates/healthcare/good-service-technicians-know-how-hospitals-work/</v>
      </c>
      <c r="C134" t="inlineStr" s="2">
        <is>
          <t xml:space="preserve">Medical technology must be reliable – every day, in every situation. From diagnostic devices to complex life-sustaining systems, fully functioning equipment is essential for safe patient care, efficient hospital operations, and the protection of clinical staff.</t>
        </is>
      </c>
      <c r="D134" s="2"/>
      <c r="F134" s="4"/>
      <c r="G134" t="inlineStr" s="2">
        <is>
          <t xml:space="preserve">Das ECMO-Gerät ist ausgefallen und ein Patient gerät akut in Lebensgefahr. Oder der OP-Tisch im Hybrid-OP lässt sich nicht mehr bedienen und damit droht der OP-Plan zu platzen. Eine funktionierende Medizintechnik, vom einfachen Diagnosegerät bis hin zu komplexen lebenserhaltenden Maschinen, ist für den reibungslosen Betrieb im Krankenhaus, die Sicherheit von Patient:innen und Anwender:innen sowie für die Gewährleistung einer qualitativ hochwertigen Patient:innenversorgung unerlässlich.</t>
        </is>
      </c>
      <c r="H134" t="inlineStr" s="2">
        <is>
          <t xml:space="preserve">Häufig finden sich in den Service-Verträgen Reparatur- und Präventions-Leistungen kombiniert. Außerdem ist aufgrund der zunehmenden Konnektivität der Geräte die Tele-Wartung bzw. remote maintenance z. B. Bestandteil der Anlagenüberwachung per FleetView. Damit erhält der Getinge-Service direkt Informationen vom Gerät und kann ein technisches Problem unmittelbar nach Auftreten erkennen oder durch Datenanalyse bereits vorhersagen.</t>
        </is>
      </c>
      <c r="I134" t="inlineStr" s="2">
        <is>
          <t xml:space="preserve">Neben der fachlichen Eignung, den personellen Kapazitäten und der schnellen und zuverlässigen Reaktion eines Serviceanbieters ist es dieses Engagement, was dem Kunden verrät, dass der Anbieter das Umfeld “Krankenhaus“ in seiner Dynamik und medizinischen Brisanz tatsächlich versteht und sein Service-Angebot sich passgenau einfügen lässt. „Wir wissen eben, wie Krankenhaus funktioniert, denn viele unserer Mitarbeiter:innen waren vormals selbst im Krankenhaus beschäftigt“ fasst Becker zusammen.</t>
        </is>
      </c>
      <c r="J134" s="4"/>
      <c r="K134" s="2"/>
      <c r="L134" t="str" s="3">
        <f>HYPERLINK("https://www.getinge.com/de/news-und-events/neuigkeiten/gesundheitswesen/gute-service-technikerinnen-wissen-wie-krankenhaus-funktioniert/","/news-und-events/neuigkeiten/gesundheitswesen/gute-service-technikerinnen-wissen-wie-krankenhaus-funktioniert/")</f>
        <v>/news-und-events/neuigkeiten/gesundheitswesen/gute-service-technikerinnen-wissen-wie-krankenhaus-funktioniert/</v>
      </c>
    </row>
    <row r="135">
      <c r="A135" s="0">
        <v>134</v>
      </c>
      <c r="B135" t="str" s="3">
        <f>HYPERLINK("https://www.getinge.com/int/insights/updates/healthcare/good-service-technicians-know-how-hospitals-work/","/insights/updates/healthcare/good-service-technicians-know-how-hospitals-work/")</f>
        <v>/insights/updates/healthcare/good-service-technicians-know-how-hospitals-work/</v>
      </c>
      <c r="C135" t="inlineStr" s="2">
        <is>
          <t xml:space="preserve">To better understand what hospitals should look for when choosing a service provider, we spoke with Christopher Becker, Area Service Manager at Getinge, about preventive maintenance, service contracts, and the human factor behind reliable service.</t>
        </is>
      </c>
      <c r="D135" s="2"/>
      <c r="F135" s="4"/>
      <c r="G135" t="inlineStr" s="2">
        <is>
          <t xml:space="preserve">Häufig finden sich in den Service-Verträgen Reparatur- und Präventions-Leistungen kombiniert. Außerdem ist aufgrund der zunehmenden Konnektivität der Geräte die Tele-Wartung bzw. remote maintenance z. B. Bestandteil der Anlagenüberwachung per FleetView. Damit erhält der Getinge-Service direkt Informationen vom Gerät und kann ein technisches Problem unmittelbar nach Auftreten erkennen oder durch Datenanalyse bereits vorhersagen.</t>
        </is>
      </c>
      <c r="H135" t="inlineStr" s="2">
        <is>
          <t xml:space="preserve">Neben der fachlichen Eignung, den personellen Kapazitäten und der schnellen und zuverlässigen Reaktion eines Serviceanbieters ist es dieses Engagement, was dem Kunden verrät, dass der Anbieter das Umfeld “Krankenhaus“ in seiner Dynamik und medizinischen Brisanz tatsächlich versteht und sein Service-Angebot sich passgenau einfügen lässt. „Wir wissen eben, wie Krankenhaus funktioniert, denn viele unserer Mitarbeiter:innen waren vormals selbst im Krankenhaus beschäftigt“ fasst Becker zusammen.</t>
        </is>
      </c>
      <c r="I135" t="inlineStr" s="2">
        <is>
          <t xml:space="preserve">Durch die Krankenhausreform ist die Krankenhauslandschaft im Umbruch: Häuser müssen geschlossen werden, andere werden zusammengelegt oder neue Krankenhäuser werden gebaut. Stets damit verbunden ist die Umgestaltung oder Neuimplementierung der Medizintechnik. Das bedeutet für die zuständigen Mitarbeiter:innen, die Medizin- und Betriebstechniker:innen, zusätzliche Aufgaben zu ihrem sowieso fordernden Berufsalltag. „Der Tisch ist voll“, weiß Christopher Becker, Area Service Manager West beim Medizintechnikhersteller Getinge, „und wenn dann noch die OP-Säule ausfällt und damit der Ablauf im Operationssaal ins Stocken gerät…dann ist natürlich unsere schnelle und zuverlässige Reaktion gefragt. Aber das ist es nicht allein. Als Getinge Service verstehen wir es als unsere Aufgabe, unsere Kunden auch in ihrem veränderten Arbeitsumfeld zu unterstützen. Konkret heißt das, wir führen Abstimmungen mit allen im Projekt beteiligten Stakeholdern, beraten hinsichtlich Instandhaltungsstrategie und der Total Cost of Ownership.“</t>
        </is>
      </c>
      <c r="J135" s="4"/>
      <c r="K135" s="2"/>
      <c r="L135" t="str" s="3">
        <f>HYPERLINK("https://www.getinge.com/de/news-und-events/neuigkeiten/gesundheitswesen/gute-service-technikerinnen-wissen-wie-krankenhaus-funktioniert/","/news-und-events/neuigkeiten/gesundheitswesen/gute-service-technikerinnen-wissen-wie-krankenhaus-funktioniert/")</f>
        <v>/news-und-events/neuigkeiten/gesundheitswesen/gute-service-technikerinnen-wissen-wie-krankenhaus-funktioniert/</v>
      </c>
    </row>
    <row r="136">
      <c r="A136" s="0">
        <v>135</v>
      </c>
      <c r="B136" t="str" s="3">
        <f>HYPERLINK("https://www.getinge.com/int/insights/updates/healthcare/good-service-technicians-know-how-hospitals-work/","/insights/updates/healthcare/good-service-technicians-know-how-hospitals-work/")</f>
        <v>/insights/updates/healthcare/good-service-technicians-know-how-hospitals-work/</v>
      </c>
      <c r="C136" t="inlineStr" s="2">
        <is>
          <t xml:space="preserve">Healthcare systems across many countries are undergoing structural change. Hospitals are being consolidated, expanded, or newly built – often accompanied by major updates or replacements of medical equipment. For biomedical and operations teams, this means additional workload in an already demanding environment. “When equipment fails unexpectedly, clinical workflows are immediately affected,” Becker explains. “In the operating room especially, unplanned downtime can quickly translate into additional costs, scheduling disruptions, and risks to patient safety.”</t>
        </is>
      </c>
      <c r="D136" s="2"/>
      <c r="F136" s="4"/>
      <c r="G136" t="inlineStr" s="2">
        <is>
          <t xml:space="preserve">Ein Service-Vertrag für medizintechnisches Gerät ist ein „Must have“, um Ausfallzeiten zu minimieren, die zu riskanten Situationen für Patient:innen führen, den Ablauf im Krankenhausalltag empfindlich stören und ökonomische Einbußen bringen können. Bei der Neuanschaffung eines Geräts sind diese Kosten mit einzubeziehen und gehen in die total cost of ownership ein. Ein passender Service-Dienstleister berät und unterstützt seine Kunden bereits bei der Instandhaltungsstrategie und empfiehlt eine individuell passende Vertragslösung. Neben der technischen Kompetenz, der Verfügbarkeit und Zuverlässigkeit sind auch Engagement und feste Ansprechpartner:innen Zeichen für einen qualitativ hochwertigen Anbieter.</t>
        </is>
      </c>
      <c r="H136" t="inlineStr" s="2">
        <is>
          <t xml:space="preserve">„Bei Getinge ist es uns wichtig, unsere Kund:innen von Anfang an bei ihrer Instandhaltungsplanung zu begleiten. Um auf individuelle Bedürfnisse eingehen zu können, haben wir verschiedene Vertragsmodelle entwickelt – von der Light-Variante bis hin zur Premiumversion. Dazwischen bieten wir eine Auswahl an differenziert abgestuften Modellen an, mit denen wir jedem Kundenbedürfnis gerecht werden können. Das bedeutet auch: Wenn in einem Beratungsgespräch deutlich wird, dass es wirtschaftlicher ist, ein Gerät auszutauschen, dann raten wir dazu und empfehlen nicht etwa einen Vertrag, um des bloßen Abschlusses willens“, so Becker.</t>
        </is>
      </c>
      <c r="I136" t="inlineStr" s="2">
        <is>
          <t xml:space="preserve">Wichtig: Bereits bei der Neuanschaffung eines Geräts an die Gesamtkosten, sprich die anfallenden Kosten während des gesamten Geräte-Lebenszyklus denken. „Wir sprechen von den total cost of ownership“, erläutert Becker, „denn um reale Kostentransparenz zu erreichen, müssen neben dem Neupreis auch die Instandhaltungskosten inklusive notwendiger Updates und Modernisierungen einfließen. Als Originalhersteller und Service-Dienstleister haben wir stets den Überblick über die Gesamtkosten und können Kund:innen diese bei der Investitionsplanung zuverlässig benennen.“</t>
        </is>
      </c>
      <c r="J136" s="4"/>
      <c r="K136" s="2"/>
      <c r="L136" t="str" s="3">
        <f>HYPERLINK("https://www.getinge.com/de/news-und-events/neuigkeiten/gesundheitswesen/gute-service-technikerinnen-wissen-wie-krankenhaus-funktioniert/","/news-und-events/neuigkeiten/gesundheitswesen/gute-service-technikerinnen-wissen-wie-krankenhaus-funktioniert/")</f>
        <v>/news-und-events/neuigkeiten/gesundheitswesen/gute-service-technikerinnen-wissen-wie-krankenhaus-funktioniert/</v>
      </c>
    </row>
    <row r="137">
      <c r="A137" s="0">
        <v>136</v>
      </c>
      <c r="B137" t="str" s="3">
        <f>HYPERLINK("https://www.getinge.com/int/insights/updates/healthcare/good-service-technicians-know-how-hospitals-work/","/insights/updates/healthcare/good-service-technicians-know-how-hospitals-work/")</f>
        <v>/insights/updates/healthcare/good-service-technicians-know-how-hospitals-work/</v>
      </c>
      <c r="C137" t="inlineStr" s="2">
        <is>
          <t xml:space="preserve">For Becker, this is where service goes beyond repairs. “As a service partner, we see our role as supporting hospitals in their changing operational environment – by advising on maintenance strategies, coordinating with all relevant stakeholders, and helping customers understand the total cost of ownership of their equipment.”</t>
        </is>
      </c>
      <c r="D137" s="2"/>
      <c r="F137" s="4"/>
      <c r="G137" t="inlineStr" s="2">
        <is>
          <t xml:space="preserve">Häufig finden sich in den Service-Verträgen Reparatur- und Präventions-Leistungen kombiniert. Außerdem ist aufgrund der zunehmenden Konnektivität der Geräte die Tele-Wartung bzw. remote maintenance z. B. Bestandteil der Anlagenüberwachung per FleetView. Damit erhält der Getinge-Service direkt Informationen vom Gerät und kann ein technisches Problem unmittelbar nach Auftreten erkennen oder durch Datenanalyse bereits vorhersagen.</t>
        </is>
      </c>
      <c r="H137" t="inlineStr" s="2">
        <is>
          <t xml:space="preserve">Neben der fachlichen Eignung, den personellen Kapazitäten und der schnellen und zuverlässigen Reaktion eines Serviceanbieters ist es dieses Engagement, was dem Kunden verrät, dass der Anbieter das Umfeld “Krankenhaus“ in seiner Dynamik und medizinischen Brisanz tatsächlich versteht und sein Service-Angebot sich passgenau einfügen lässt. „Wir wissen eben, wie Krankenhaus funktioniert, denn viele unserer Mitarbeiter:innen waren vormals selbst im Krankenhaus beschäftigt“ fasst Becker zusammen.</t>
        </is>
      </c>
      <c r="I137" t="inlineStr" s="2">
        <is>
          <t xml:space="preserve">Wichtig: Bereits bei der Neuanschaffung eines Geräts an die Gesamtkosten, sprich die anfallenden Kosten während des gesamten Geräte-Lebenszyklus denken. „Wir sprechen von den total cost of ownership“, erläutert Becker, „denn um reale Kostentransparenz zu erreichen, müssen neben dem Neupreis auch die Instandhaltungskosten inklusive notwendiger Updates und Modernisierungen einfließen. Als Originalhersteller und Service-Dienstleister haben wir stets den Überblick über die Gesamtkosten und können Kund:innen diese bei der Investitionsplanung zuverlässig benennen.“</t>
        </is>
      </c>
      <c r="J137" s="4"/>
      <c r="K137" s="2"/>
      <c r="L137" t="str" s="3">
        <f>HYPERLINK("https://www.getinge.com/de/news-und-events/neuigkeiten/gesundheitswesen/gute-service-technikerinnen-wissen-wie-krankenhaus-funktioniert/","/news-und-events/neuigkeiten/gesundheitswesen/gute-service-technikerinnen-wissen-wie-krankenhaus-funktioniert/")</f>
        <v>/news-und-events/neuigkeiten/gesundheitswesen/gute-service-technikerinnen-wissen-wie-krankenhaus-funktioniert/</v>
      </c>
    </row>
    <row r="138">
      <c r="A138" s="0">
        <v>137</v>
      </c>
      <c r="B138" t="str" s="3">
        <f>HYPERLINK("https://www.getinge.com/int/insights/updates/healthcare/good-service-technicians-know-how-hospitals-work/","/insights/updates/healthcare/good-service-technicians-know-how-hospitals-work/")</f>
        <v>/insights/updates/healthcare/good-service-technicians-know-how-hospitals-work/</v>
      </c>
      <c r="C138" t="inlineStr" s="2">
        <is>
          <t xml:space="preserve">Why preventive maintenance matters</t>
        </is>
      </c>
      <c r="D138" s="2"/>
      <c r="F138" s="4"/>
      <c r="G138" t="inlineStr" s="2">
        <is>
          <t xml:space="preserve">Der Service-Vertrag – was ist zu bedenken</t>
        </is>
      </c>
      <c r="H138" t="inlineStr" s="2">
        <is>
          <t xml:space="preserve">Persönlichkeit und Engagement nicht unterschätzen</t>
        </is>
      </c>
      <c r="I138" s="2"/>
      <c r="J138" s="4"/>
      <c r="K138" s="2"/>
      <c r="L138" t="str" s="3">
        <f>HYPERLINK("https://www.getinge.com/de/news-und-events/neuigkeiten/gesundheitswesen/gute-service-technikerinnen-wissen-wie-krankenhaus-funktioniert/","/news-und-events/neuigkeiten/gesundheitswesen/gute-service-technikerinnen-wissen-wie-krankenhaus-funktioniert/")</f>
        <v>/news-und-events/neuigkeiten/gesundheitswesen/gute-service-technikerinnen-wissen-wie-krankenhaus-funktioniert/</v>
      </c>
    </row>
    <row r="139">
      <c r="A139" s="0">
        <v>138</v>
      </c>
      <c r="B139" t="str" s="3">
        <f>HYPERLINK("https://www.getinge.com/int/insights/updates/healthcare/good-service-technicians-know-how-hospitals-work/","/insights/updates/healthcare/good-service-technicians-know-how-hospitals-work/")</f>
        <v>/insights/updates/healthcare/good-service-technicians-know-how-hospitals-work/</v>
      </c>
      <c r="C139" t="inlineStr" s="2">
        <is>
          <t xml:space="preserve">Preventive maintenance plays a critical role in ensuring both the safety and longevity of medical equipment. Planned maintenance activities help identify wear and potential failures early – before they lead to breakdowns or safety risks.</t>
        </is>
      </c>
      <c r="D139" s="2"/>
      <c r="F139" s="4"/>
      <c r="G139" t="inlineStr" s="2">
        <is>
          <t xml:space="preserve">Häufig finden sich in den Service-Verträgen Reparatur- und Präventions-Leistungen kombiniert. Außerdem ist aufgrund der zunehmenden Konnektivität der Geräte die Tele-Wartung bzw. remote maintenance z. B. Bestandteil der Anlagenüberwachung per FleetView. Damit erhält der Getinge-Service direkt Informationen vom Gerät und kann ein technisches Problem unmittelbar nach Auftreten erkennen oder durch Datenanalyse bereits vorhersagen.</t>
        </is>
      </c>
      <c r="H139" t="inlineStr" s="2">
        <is>
          <t xml:space="preserve">Das ECMO-Gerät ist ausgefallen und ein Patient gerät akut in Lebensgefahr. Oder der OP-Tisch im Hybrid-OP lässt sich nicht mehr bedienen und damit droht der OP-Plan zu platzen. Eine funktionierende Medizintechnik, vom einfachen Diagnosegerät bis hin zu komplexen lebenserhaltenden Maschinen, ist für den reibungslosen Betrieb im Krankenhaus, die Sicherheit von Patient:innen und Anwender:innen sowie für die Gewährleistung einer qualitativ hochwertigen Patient:innenversorgung unerlässlich.</t>
        </is>
      </c>
      <c r="I139" t="inlineStr" s="2">
        <is>
          <t xml:space="preserve">Neben der fachlichen Eignung, den personellen Kapazitäten und der schnellen und zuverlässigen Reaktion eines Serviceanbieters ist es dieses Engagement, was dem Kunden verrät, dass der Anbieter das Umfeld “Krankenhaus“ in seiner Dynamik und medizinischen Brisanz tatsächlich versteht und sein Service-Angebot sich passgenau einfügen lässt. „Wir wissen eben, wie Krankenhaus funktioniert, denn viele unserer Mitarbeiter:innen waren vormals selbst im Krankenhaus beschäftigt“ fasst Becker zusammen.</t>
        </is>
      </c>
      <c r="J139" s="4"/>
      <c r="K139" s="2"/>
      <c r="L139" t="str" s="3">
        <f>HYPERLINK("https://www.getinge.com/de/news-und-events/neuigkeiten/gesundheitswesen/gute-service-technikerinnen-wissen-wie-krankenhaus-funktioniert/","/news-und-events/neuigkeiten/gesundheitswesen/gute-service-technikerinnen-wissen-wie-krankenhaus-funktioniert/")</f>
        <v>/news-und-events/neuigkeiten/gesundheitswesen/gute-service-technikerinnen-wissen-wie-krankenhaus-funktioniert/</v>
      </c>
    </row>
    <row r="140">
      <c r="A140" s="0">
        <v>139</v>
      </c>
      <c r="B140" t="str" s="3">
        <f>HYPERLINK("https://www.getinge.com/int/insights/updates/healthcare/good-service-technicians-know-how-hospitals-work/","/insights/updates/healthcare/good-service-technicians-know-how-hospitals-work/")</f>
        <v>/insights/updates/healthcare/good-service-technicians-know-how-hospitals-work/</v>
      </c>
      <c r="C140" t="inlineStr" s="2">
        <is>
          <t xml:space="preserve">By maintaining equipment according to defined standards, hospitals can reduce unexpected downtime, extend the usable life of devices, and ensure systems continue to operate within validated safety parameters. Over time, this improves operational reliability and protects investments.</t>
        </is>
      </c>
      <c r="D140" s="2"/>
      <c r="F140" s="4"/>
      <c r="G140" t="inlineStr" s="2">
        <is>
          <t xml:space="preserve">Häufig finden sich in den Service-Verträgen Reparatur- und Präventions-Leistungen kombiniert. Außerdem ist aufgrund der zunehmenden Konnektivität der Geräte die Tele-Wartung bzw. remote maintenance z. B. Bestandteil der Anlagenüberwachung per FleetView. Damit erhält der Getinge-Service direkt Informationen vom Gerät und kann ein technisches Problem unmittelbar nach Auftreten erkennen oder durch Datenanalyse bereits vorhersagen.</t>
        </is>
      </c>
      <c r="H140" t="inlineStr" s="2">
        <is>
          <t xml:space="preserve">Das ECMO-Gerät ist ausgefallen und ein Patient gerät akut in Lebensgefahr. Oder der OP-Tisch im Hybrid-OP lässt sich nicht mehr bedienen und damit droht der OP-Plan zu platzen. Eine funktionierende Medizintechnik, vom einfachen Diagnosegerät bis hin zu komplexen lebenserhaltenden Maschinen, ist für den reibungslosen Betrieb im Krankenhaus, die Sicherheit von Patient:innen und Anwender:innen sowie für die Gewährleistung einer qualitativ hochwertigen Patient:innenversorgung unerlässlich.</t>
        </is>
      </c>
      <c r="I140" t="inlineStr" s="2">
        <is>
          <t xml:space="preserve">Apropos „Originalhersteller“ - grundsätzlich ist es empfehlenswert, die Wartung durch den Original-Gerätehersteller vornehmen zu lassen. Dieser kennt als Entwickler die Geräte am besten. Es sollten auch immer die Originalersatzteile, die über den Original-Gerätehersteller verfügbar sind, verwendet werden, was sich positiv auf die Betriebsdauer der Geräte auswirkt. Zudem zeigen die Originalhersteller meist eine besondere Verantwortlichkeit für das einwandfreie Funktionieren „ihrer“ Geräte.</t>
        </is>
      </c>
      <c r="J140" s="4"/>
      <c r="K140" s="2"/>
      <c r="L140" t="str" s="3">
        <f>HYPERLINK("https://www.getinge.com/de/news-und-events/neuigkeiten/gesundheitswesen/gute-service-technikerinnen-wissen-wie-krankenhaus-funktioniert/","/news-und-events/neuigkeiten/gesundheitswesen/gute-service-technikerinnen-wissen-wie-krankenhaus-funktioniert/")</f>
        <v>/news-und-events/neuigkeiten/gesundheitswesen/gute-service-technikerinnen-wissen-wie-krankenhaus-funktioniert/</v>
      </c>
    </row>
    <row r="141">
      <c r="A141" s="0">
        <v>140</v>
      </c>
      <c r="B141" t="str" s="3">
        <f>HYPERLINK("https://www.getinge.com/int/insights/updates/healthcare/good-service-technicians-know-how-hospitals-work/","/insights/updates/healthcare/good-service-technicians-know-how-hospitals-work/")</f>
        <v>/insights/updates/healthcare/good-service-technicians-know-how-hospitals-work/</v>
      </c>
      <c r="C141" t="inlineStr" s="2">
        <is>
          <t xml:space="preserve">In addition to preventive maintenance, predictive maintenance approaches are gaining importance. Supported by sensors and software-based monitoring, predictive maintenance allows potential issues to be identified based on device condition and usage data – often before a failure occurs. This helps minimize unplanned repairs, optimize maintenance intervals, and further increase equipment availability.</t>
        </is>
      </c>
      <c r="D141" s="2"/>
      <c r="F141" s="4"/>
      <c r="G141" t="inlineStr" s="2">
        <is>
          <t xml:space="preserve">Häufig finden sich in den Service-Verträgen Reparatur- und Präventions-Leistungen kombiniert. Außerdem ist aufgrund der zunehmenden Konnektivität der Geräte die Tele-Wartung bzw. remote maintenance z. B. Bestandteil der Anlagenüberwachung per FleetView. Damit erhält der Getinge-Service direkt Informationen vom Gerät und kann ein technisches Problem unmittelbar nach Auftreten erkennen oder durch Datenanalyse bereits vorhersagen.</t>
        </is>
      </c>
      <c r="H141" t="inlineStr" s="2">
        <is>
          <t xml:space="preserve">Das ECMO-Gerät ist ausgefallen und ein Patient gerät akut in Lebensgefahr. Oder der OP-Tisch im Hybrid-OP lässt sich nicht mehr bedienen und damit droht der OP-Plan zu platzen. Eine funktionierende Medizintechnik, vom einfachen Diagnosegerät bis hin zu komplexen lebenserhaltenden Maschinen, ist für den reibungslosen Betrieb im Krankenhaus, die Sicherheit von Patient:innen und Anwender:innen sowie für die Gewährleistung einer qualitativ hochwertigen Patient:innenversorgung unerlässlich.</t>
        </is>
      </c>
      <c r="I141" t="inlineStr" s="2">
        <is>
          <t xml:space="preserve">Neben der fachlichen Eignung, den personellen Kapazitäten und der schnellen und zuverlässigen Reaktion eines Serviceanbieters ist es dieses Engagement, was dem Kunden verrät, dass der Anbieter das Umfeld “Krankenhaus“ in seiner Dynamik und medizinischen Brisanz tatsächlich versteht und sein Service-Angebot sich passgenau einfügen lässt. „Wir wissen eben, wie Krankenhaus funktioniert, denn viele unserer Mitarbeiter:innen waren vormals selbst im Krankenhaus beschäftigt“ fasst Becker zusammen.</t>
        </is>
      </c>
      <c r="J141" s="4"/>
      <c r="K141" s="2"/>
      <c r="L141" t="str" s="3">
        <f>HYPERLINK("https://www.getinge.com/de/news-und-events/neuigkeiten/gesundheitswesen/gute-service-technikerinnen-wissen-wie-krankenhaus-funktioniert/","/news-und-events/neuigkeiten/gesundheitswesen/gute-service-technikerinnen-wissen-wie-krankenhaus-funktioniert/")</f>
        <v>/news-und-events/neuigkeiten/gesundheitswesen/gute-service-technikerinnen-wissen-wie-krankenhaus-funktioniert/</v>
      </c>
    </row>
    <row r="142">
      <c r="A142" s="0">
        <v>141</v>
      </c>
      <c r="B142" t="str" s="3">
        <f>HYPERLINK("https://www.getinge.com/int/insights/updates/healthcare/good-service-technicians-know-how-hospitals-work/","/insights/updates/healthcare/good-service-technicians-know-how-hospitals-work/")</f>
        <v>/insights/updates/healthcare/good-service-technicians-know-how-hospitals-work/</v>
      </c>
      <c r="C142" t="inlineStr" s="2">
        <is>
          <t xml:space="preserve">What to consider in a service contract</t>
        </is>
      </c>
      <c r="D142" t="inlineStr" s="2">
        <is>
          <t xml:space="preserve">Der Service-Vertrag – was ist zu bedenken</t>
        </is>
      </c>
      <c r="E142" t="inlineStr" s="0">
        <is>
          <t xml:space="preserve">Medium</t>
        </is>
      </c>
      <c r="F142" s="4"/>
      <c r="G142" t="inlineStr" s="2">
        <is>
          <t xml:space="preserve">Persönlichkeit und Engagement nicht unterschätzen</t>
        </is>
      </c>
      <c r="H142" s="2"/>
      <c r="I142" s="2"/>
      <c r="J142" s="4"/>
      <c r="K142" s="2"/>
      <c r="L142" t="str" s="3">
        <f>HYPERLINK("https://www.getinge.com/de/news-und-events/neuigkeiten/gesundheitswesen/gute-service-technikerinnen-wissen-wie-krankenhaus-funktioniert/","/news-und-events/neuigkeiten/gesundheitswesen/gute-service-technikerinnen-wissen-wie-krankenhaus-funktioniert/")</f>
        <v>/news-und-events/neuigkeiten/gesundheitswesen/gute-service-technikerinnen-wissen-wie-krankenhaus-funktioniert/</v>
      </c>
    </row>
    <row r="143">
      <c r="A143" s="0">
        <v>142</v>
      </c>
      <c r="B143" t="str" s="3">
        <f>HYPERLINK("https://www.getinge.com/int/insights/updates/healthcare/good-service-technicians-know-how-hospitals-work/","/insights/updates/healthcare/good-service-technicians-know-how-hospitals-work/")</f>
        <v>/insights/updates/healthcare/good-service-technicians-know-how-hospitals-work/</v>
      </c>
      <c r="C143" t="inlineStr" s="2">
        <is>
          <t xml:space="preserve">Service contracts typically combine corrective and preventive maintenance elements. Depending on the equipment and operational needs, they may also include inspections, software updates, safety checks, modernization measures, and remote monitoring services. “With increasing device connectivity, remote services and digital monitoring have become an important part of maintenance strategies,” Becker says. “They allow service teams to detect issues earlier and respond faster – sometimes even before users notice a problem.”</t>
        </is>
      </c>
      <c r="D143" s="2"/>
      <c r="F143" s="4"/>
      <c r="G143" t="inlineStr" s="2">
        <is>
          <t xml:space="preserve">Wichtig: Bereits bei der Neuanschaffung eines Geräts an die Gesamtkosten, sprich die anfallenden Kosten während des gesamten Geräte-Lebenszyklus denken. „Wir sprechen von den total cost of ownership“, erläutert Becker, „denn um reale Kostentransparenz zu erreichen, müssen neben dem Neupreis auch die Instandhaltungskosten inklusive notwendiger Updates und Modernisierungen einfließen. Als Originalhersteller und Service-Dienstleister haben wir stets den Überblick über die Gesamtkosten und können Kund:innen diese bei der Investitionsplanung zuverlässig benennen.“</t>
        </is>
      </c>
      <c r="H143" t="inlineStr" s="2">
        <is>
          <t xml:space="preserve">„Bei Getinge ist es uns wichtig, unsere Kund:innen von Anfang an bei ihrer Instandhaltungsplanung zu begleiten. Um auf individuelle Bedürfnisse eingehen zu können, haben wir verschiedene Vertragsmodelle entwickelt – von der Light-Variante bis hin zur Premiumversion. Dazwischen bieten wir eine Auswahl an differenziert abgestuften Modellen an, mit denen wir jedem Kundenbedürfnis gerecht werden können. Das bedeutet auch: Wenn in einem Beratungsgespräch deutlich wird, dass es wirtschaftlicher ist, ein Gerät auszutauschen, dann raten wir dazu und empfehlen nicht etwa einen Vertrag, um des bloßen Abschlusses willens“, so Becker.</t>
        </is>
      </c>
      <c r="I143" t="inlineStr" s="2">
        <is>
          <t xml:space="preserve">Neben der fachlichen Eignung, den personellen Kapazitäten und der schnellen und zuverlässigen Reaktion eines Serviceanbieters ist es dieses Engagement, was dem Kunden verrät, dass der Anbieter das Umfeld “Krankenhaus“ in seiner Dynamik und medizinischen Brisanz tatsächlich versteht und sein Service-Angebot sich passgenau einfügen lässt. „Wir wissen eben, wie Krankenhaus funktioniert, denn viele unserer Mitarbeiter:innen waren vormals selbst im Krankenhaus beschäftigt“ fasst Becker zusammen.</t>
        </is>
      </c>
      <c r="J143" s="4"/>
      <c r="K143" s="2"/>
      <c r="L143" t="str" s="3">
        <f>HYPERLINK("https://www.getinge.com/de/news-und-events/neuigkeiten/gesundheitswesen/gute-service-technikerinnen-wissen-wie-krankenhaus-funktioniert/","/news-und-events/neuigkeiten/gesundheitswesen/gute-service-technikerinnen-wissen-wie-krankenhaus-funktioniert/")</f>
        <v>/news-und-events/neuigkeiten/gesundheitswesen/gute-service-technikerinnen-wissen-wie-krankenhaus-funktioniert/</v>
      </c>
    </row>
    <row r="144">
      <c r="A144" s="0">
        <v>143</v>
      </c>
      <c r="B144" t="str" s="3">
        <f>HYPERLINK("https://www.getinge.com/int/insights/updates/healthcare/good-service-technicians-know-how-hospitals-work/","/insights/updates/healthcare/good-service-technicians-know-how-hospitals-work/")</f>
        <v>/insights/updates/healthcare/good-service-technicians-know-how-hospitals-work/</v>
      </c>
      <c r="C144" t="inlineStr" s="2">
        <is>
          <t xml:space="preserve">At Getinge, customers are supported from the very beginning of their maintenance planning. “We offer different contract models – from basic to premium – so hospitals can choose the level of service that fits their needs,” Becker explains. “And if it becomes clear that replacing a device is more economical than maintaining it, we will say so. Our goal is not to sell contracts, but to support sustainable decisions.”</t>
        </is>
      </c>
      <c r="D144" t="inlineStr" s="2">
        <is>
          <t xml:space="preserve">Häufig finden sich in den Service-Verträgen Reparatur- und Präventions-Leistungen kombiniert. Außerdem ist aufgrund der zunehmenden Konnektivität der Geräte die Tele-Wartung bzw. remote maintenance z. B. Bestandteil der Anlagenüberwachung per FleetView. Damit erhält der Getinge-Service direkt Informationen vom Gerät und kann ein technisches Problem unmittelbar nach Auftreten erkennen oder durch Datenanalyse bereits vorhersagen.</t>
        </is>
      </c>
      <c r="E144" t="inlineStr" s="0">
        <is>
          <t xml:space="preserve">Low</t>
        </is>
      </c>
      <c r="F144" s="4"/>
      <c r="G144" t="inlineStr" s="2">
        <is>
          <t xml:space="preserve">Neben der fachlichen Eignung, den personellen Kapazitäten und der schnellen und zuverlässigen Reaktion eines Serviceanbieters ist es dieses Engagement, was dem Kunden verrät, dass der Anbieter das Umfeld “Krankenhaus“ in seiner Dynamik und medizinischen Brisanz tatsächlich versteht und sein Service-Angebot sich passgenau einfügen lässt. „Wir wissen eben, wie Krankenhaus funktioniert, denn viele unserer Mitarbeiter:innen waren vormals selbst im Krankenhaus beschäftigt“ fasst Becker zusammen.</t>
        </is>
      </c>
      <c r="H144" t="inlineStr" s="2">
        <is>
          <t xml:space="preserve">Das ECMO-Gerät ist ausgefallen und ein Patient gerät akut in Lebensgefahr. Oder der OP-Tisch im Hybrid-OP lässt sich nicht mehr bedienen und damit droht der OP-Plan zu platzen. Eine funktionierende Medizintechnik, vom einfachen Diagnosegerät bis hin zu komplexen lebenserhaltenden Maschinen, ist für den reibungslosen Betrieb im Krankenhaus, die Sicherheit von Patient:innen und Anwender:innen sowie für die Gewährleistung einer qualitativ hochwertigen Patient:innenversorgung unerlässlich.</t>
        </is>
      </c>
      <c r="I144" t="inlineStr" s="2">
        <is>
          <t xml:space="preserve">Wichtig: Bereits bei der Neuanschaffung eines Geräts an die Gesamtkosten, sprich die anfallenden Kosten während des gesamten Geräte-Lebenszyklus denken. „Wir sprechen von den total cost of ownership“, erläutert Becker, „denn um reale Kostentransparenz zu erreichen, müssen neben dem Neupreis auch die Instandhaltungskosten inklusive notwendiger Updates und Modernisierungen einfließen. Als Originalhersteller und Service-Dienstleister haben wir stets den Überblick über die Gesamtkosten und können Kund:innen diese bei der Investitionsplanung zuverlässig benennen.“</t>
        </is>
      </c>
      <c r="J144" s="4"/>
      <c r="K144" s="2"/>
      <c r="L144" t="str" s="3">
        <f>HYPERLINK("https://www.getinge.com/de/news-und-events/neuigkeiten/gesundheitswesen/gute-service-technikerinnen-wissen-wie-krankenhaus-funktioniert/","/news-und-events/neuigkeiten/gesundheitswesen/gute-service-technikerinnen-wissen-wie-krankenhaus-funktioniert/")</f>
        <v>/news-und-events/neuigkeiten/gesundheitswesen/gute-service-technikerinnen-wissen-wie-krankenhaus-funktioniert/</v>
      </c>
    </row>
    <row r="145">
      <c r="A145" s="0">
        <v>144</v>
      </c>
      <c r="B145" t="str" s="3">
        <f>HYPERLINK("https://www.getinge.com/int/insights/updates/healthcare/good-service-technicians-know-how-hospitals-work/","/insights/updates/healthcare/good-service-technicians-know-how-hospitals-work/")</f>
        <v>/insights/updates/healthcare/good-service-technicians-know-how-hospitals-work/</v>
      </c>
      <c r="C145" t="inlineStr" s="2">
        <is>
          <t xml:space="preserve">A key aspect is considering total cost of ownership (TCO) early on. “To achieve real cost transparency, you need to look beyond the purchase price,” Becker adds. “Maintenance, updates, and modernization over the full lifecycle must be included. As the original manufacturer, we can provide reliable insight into these long-term costs.”</t>
        </is>
      </c>
      <c r="D145" s="2"/>
      <c r="F145" s="4"/>
      <c r="G145" t="inlineStr" s="2">
        <is>
          <t xml:space="preserve">Häufig finden sich in den Service-Verträgen Reparatur- und Präventions-Leistungen kombiniert. Außerdem ist aufgrund der zunehmenden Konnektivität der Geräte die Tele-Wartung bzw. remote maintenance z. B. Bestandteil der Anlagenüberwachung per FleetView. Damit erhält der Getinge-Service direkt Informationen vom Gerät und kann ein technisches Problem unmittelbar nach Auftreten erkennen oder durch Datenanalyse bereits vorhersagen.</t>
        </is>
      </c>
      <c r="H145" t="inlineStr" s="2">
        <is>
          <t xml:space="preserve">Wichtig: Bereits bei der Neuanschaffung eines Geräts an die Gesamtkosten, sprich die anfallenden Kosten während des gesamten Geräte-Lebenszyklus denken. „Wir sprechen von den total cost of ownership“, erläutert Becker, „denn um reale Kostentransparenz zu erreichen, müssen neben dem Neupreis auch die Instandhaltungskosten inklusive notwendiger Updates und Modernisierungen einfließen. Als Originalhersteller und Service-Dienstleister haben wir stets den Überblick über die Gesamtkosten und können Kund:innen diese bei der Investitionsplanung zuverlässig benennen.“</t>
        </is>
      </c>
      <c r="I145" t="inlineStr" s="2">
        <is>
          <t xml:space="preserve">Apropos „Originalhersteller“ - grundsätzlich ist es empfehlenswert, die Wartung durch den Original-Gerätehersteller vornehmen zu lassen. Dieser kennt als Entwickler die Geräte am besten. Es sollten auch immer die Originalersatzteile, die über den Original-Gerätehersteller verfügbar sind, verwendet werden, was sich positiv auf die Betriebsdauer der Geräte auswirkt. Zudem zeigen die Originalhersteller meist eine besondere Verantwortlichkeit für das einwandfreie Funktionieren „ihrer“ Geräte.</t>
        </is>
      </c>
      <c r="J145" s="4"/>
      <c r="K145" s="2"/>
      <c r="L145" t="str" s="3">
        <f>HYPERLINK("https://www.getinge.com/de/news-und-events/neuigkeiten/gesundheitswesen/gute-service-technikerinnen-wissen-wie-krankenhaus-funktioniert/","/news-und-events/neuigkeiten/gesundheitswesen/gute-service-technikerinnen-wissen-wie-krankenhaus-funktioniert/")</f>
        <v>/news-und-events/neuigkeiten/gesundheitswesen/gute-service-technikerinnen-wissen-wie-krankenhaus-funktioniert/</v>
      </c>
    </row>
    <row r="146">
      <c r="A146" s="0">
        <v>145</v>
      </c>
      <c r="B146" t="str" s="3">
        <f>HYPERLINK("https://www.getinge.com/int/insights/updates/healthcare/good-service-technicians-know-how-hospitals-work/","/insights/updates/healthcare/good-service-technicians-know-how-hospitals-work/")</f>
        <v>/insights/updates/healthcare/good-service-technicians-know-how-hospitals-work/</v>
      </c>
      <c r="C146" t="inlineStr" s="2">
        <is>
          <t xml:space="preserve">OEM expertise and the human factor</t>
        </is>
      </c>
      <c r="D146" s="2"/>
      <c r="F146" s="4"/>
      <c r="G146" t="inlineStr" s="2">
        <is>
          <t xml:space="preserve">Der Service-Vertrag – was ist zu bedenken</t>
        </is>
      </c>
      <c r="H146" t="inlineStr" s="2">
        <is>
          <t xml:space="preserve">Persönlichkeit und Engagement nicht unterschätzen</t>
        </is>
      </c>
      <c r="I146" s="2"/>
      <c r="J146" s="4"/>
      <c r="K146" s="2"/>
      <c r="L146" t="str" s="3">
        <f>HYPERLINK("https://www.getinge.com/de/news-und-events/neuigkeiten/gesundheitswesen/gute-service-technikerinnen-wissen-wie-krankenhaus-funktioniert/","/news-und-events/neuigkeiten/gesundheitswesen/gute-service-technikerinnen-wissen-wie-krankenhaus-funktioniert/")</f>
        <v>/news-und-events/neuigkeiten/gesundheitswesen/gute-service-technikerinnen-wissen-wie-krankenhaus-funktioniert/</v>
      </c>
    </row>
    <row r="147">
      <c r="A147" s="0">
        <v>146</v>
      </c>
      <c r="B147" t="str" s="3">
        <f>HYPERLINK("https://www.getinge.com/int/insights/updates/healthcare/good-service-technicians-know-how-hospitals-work/","/insights/updates/healthcare/good-service-technicians-know-how-hospitals-work/")</f>
        <v>/insights/updates/healthcare/good-service-technicians-know-how-hospitals-work/</v>
      </c>
      <c r="C147" t="inlineStr" s="2">
        <is>
          <t xml:space="preserve">Choosing the original equipment manufacturer as a service provider offers clear advantages. As the developer of the equipment, the OEM has in-depth product knowledge, access to original spare parts, and validated maintenance processes. This contributes directly to repair quality, device safety, and long-term performance.</t>
        </is>
      </c>
      <c r="D147" s="2"/>
      <c r="F147" s="4"/>
      <c r="G147" t="inlineStr" s="2">
        <is>
          <t xml:space="preserve">Häufig finden sich in den Service-Verträgen Reparatur- und Präventions-Leistungen kombiniert. Außerdem ist aufgrund der zunehmenden Konnektivität der Geräte die Tele-Wartung bzw. remote maintenance z. B. Bestandteil der Anlagenüberwachung per FleetView. Damit erhält der Getinge-Service direkt Informationen vom Gerät und kann ein technisches Problem unmittelbar nach Auftreten erkennen oder durch Datenanalyse bereits vorhersagen.</t>
        </is>
      </c>
      <c r="H147" t="inlineStr" s="2">
        <is>
          <t xml:space="preserve">Das ECMO-Gerät ist ausgefallen und ein Patient gerät akut in Lebensgefahr. Oder der OP-Tisch im Hybrid-OP lässt sich nicht mehr bedienen und damit droht der OP-Plan zu platzen. Eine funktionierende Medizintechnik, vom einfachen Diagnosegerät bis hin zu komplexen lebenserhaltenden Maschinen, ist für den reibungslosen Betrieb im Krankenhaus, die Sicherheit von Patient:innen und Anwender:innen sowie für die Gewährleistung einer qualitativ hochwertigen Patient:innenversorgung unerlässlich.</t>
        </is>
      </c>
      <c r="I147" t="inlineStr" s="2">
        <is>
          <t xml:space="preserve">Apropos „Originalhersteller“ - grundsätzlich ist es empfehlenswert, die Wartung durch den Original-Gerätehersteller vornehmen zu lassen. Dieser kennt als Entwickler die Geräte am besten. Es sollten auch immer die Originalersatzteile, die über den Original-Gerätehersteller verfügbar sind, verwendet werden, was sich positiv auf die Betriebsdauer der Geräte auswirkt. Zudem zeigen die Originalhersteller meist eine besondere Verantwortlichkeit für das einwandfreie Funktionieren „ihrer“ Geräte.</t>
        </is>
      </c>
      <c r="J147" s="4"/>
      <c r="K147" s="2"/>
      <c r="L147" t="str" s="3">
        <f>HYPERLINK("https://www.getinge.com/de/news-und-events/neuigkeiten/gesundheitswesen/gute-service-technikerinnen-wissen-wie-krankenhaus-funktioniert/","/news-und-events/neuigkeiten/gesundheitswesen/gute-service-technikerinnen-wissen-wie-krankenhaus-funktioniert/")</f>
        <v>/news-und-events/neuigkeiten/gesundheitswesen/gute-service-technikerinnen-wissen-wie-krankenhaus-funktioniert/</v>
      </c>
    </row>
    <row r="148">
      <c r="A148" s="0">
        <v>147</v>
      </c>
      <c r="B148" t="str" s="3">
        <f>HYPERLINK("https://www.getinge.com/int/insights/updates/healthcare/good-service-technicians-know-how-hospitals-work/","/insights/updates/healthcare/good-service-technicians-know-how-hospitals-work/")</f>
        <v>/insights/updates/healthcare/good-service-technicians-know-how-hospitals-work/</v>
      </c>
      <c r="C148" t="inlineStr" s="2">
        <is>
          <t xml:space="preserve">At the same time, service is not only about technology. “Reliable service is also built on trust,” Becker emphasizes. “Having dedicated service technicians who know the hospital environment and the installed equipment makes a real difference.” Long-term relationships between technicians and hospital teams allow faster response, better understanding of local requirements, and more effective problem-solving. “In a sensitive environment like healthcare, trust in the people behind the service is essential,” Becker says.</t>
        </is>
      </c>
      <c r="D148" t="inlineStr" s="2">
        <is>
          <t xml:space="preserve">Wichtig: Bereits bei der Neuanschaffung eines Geräts an die Gesamtkosten, sprich die anfallenden Kosten während des gesamten Geräte-Lebenszyklus denken. „Wir sprechen von den total cost of ownership“, erläutert Becker, „denn um reale Kostentransparenz zu erreichen, müssen neben dem Neupreis auch die Instandhaltungskosten inklusive notwendiger Updates und Modernisierungen einfließen. Als Originalhersteller und Service-Dienstleister haben wir stets den Überblick über die Gesamtkosten und können Kund:innen diese bei der Investitionsplanung zuverlässig benennen.“</t>
        </is>
      </c>
      <c r="E148" t="inlineStr" s="0">
        <is>
          <t xml:space="preserve">Low</t>
        </is>
      </c>
      <c r="F148" s="4"/>
      <c r="G148" t="inlineStr" s="2">
        <is>
          <t xml:space="preserve">„Bei Getinge ist es uns wichtig, unsere Kund:innen von Anfang an bei ihrer Instandhaltungsplanung zu begleiten. Um auf individuelle Bedürfnisse eingehen zu können, haben wir verschiedene Vertragsmodelle entwickelt – von der Light-Variante bis hin zur Premiumversion. Dazwischen bieten wir eine Auswahl an differenziert abgestuften Modellen an, mit denen wir jedem Kundenbedürfnis gerecht werden können. Das bedeutet auch: Wenn in einem Beratungsgespräch deutlich wird, dass es wirtschaftlicher ist, ein Gerät auszutauschen, dann raten wir dazu und empfehlen nicht etwa einen Vertrag, um des bloßen Abschlusses willens“, so Becker.</t>
        </is>
      </c>
      <c r="H148" t="inlineStr" s="2">
        <is>
          <t xml:space="preserve">Ein Service-Vertrag für medizintechnisches Gerät ist ein „Must have“, um Ausfallzeiten zu minimieren, die zu riskanten Situationen für Patient:innen führen, den Ablauf im Krankenhausalltag empfindlich stören und ökonomische Einbußen bringen können. Bei der Neuanschaffung eines Geräts sind diese Kosten mit einzubeziehen und gehen in die total cost of ownership ein. Ein passender Service-Dienstleister berät und unterstützt seine Kunden bereits bei der Instandhaltungsstrategie und empfiehlt eine individuell passende Vertragslösung. Neben der technischen Kompetenz, der Verfügbarkeit und Zuverlässigkeit sind auch Engagement und feste Ansprechpartner:innen Zeichen für einen qualitativ hochwertigen Anbieter.</t>
        </is>
      </c>
      <c r="I148" t="inlineStr" s="2">
        <is>
          <t xml:space="preserve">Neben der fachlichen Eignung, den personellen Kapazitäten und der schnellen und zuverlässigen Reaktion eines Serviceanbieters ist es dieses Engagement, was dem Kunden verrät, dass der Anbieter das Umfeld “Krankenhaus“ in seiner Dynamik und medizinischen Brisanz tatsächlich versteht und sein Service-Angebot sich passgenau einfügen lässt. „Wir wissen eben, wie Krankenhaus funktioniert, denn viele unserer Mitarbeiter:innen waren vormals selbst im Krankenhaus beschäftigt“ fasst Becker zusammen.</t>
        </is>
      </c>
      <c r="J148" s="4"/>
      <c r="K148" s="2"/>
      <c r="L148" t="str" s="3">
        <f>HYPERLINK("https://www.getinge.com/de/news-und-events/neuigkeiten/gesundheitswesen/gute-service-technikerinnen-wissen-wie-krankenhaus-funktioniert/","/news-und-events/neuigkeiten/gesundheitswesen/gute-service-technikerinnen-wissen-wie-krankenhaus-funktioniert/")</f>
        <v>/news-und-events/neuigkeiten/gesundheitswesen/gute-service-technikerinnen-wissen-wie-krankenhaus-funktioniert/</v>
      </c>
    </row>
    <row r="149">
      <c r="A149" s="0">
        <v>148</v>
      </c>
      <c r="B149" t="str" s="3">
        <f>HYPERLINK("https://www.getinge.com/int/insights/updates/healthcare/good-service-technicians-know-how-hospitals-work/","/insights/updates/healthcare/good-service-technicians-know-how-hospitals-work/")</f>
        <v>/insights/updates/healthcare/good-service-technicians-know-how-hospitals-work/</v>
      </c>
      <c r="C149" t="inlineStr" s="2">
        <is>
          <t xml:space="preserve">A service contract for medical equipment is more than a safety net – it is a strategic tool to reduce downtime, support patient safety, and protect long-term investments. Preventive maintenance, in particular, plays a central role in extending equipment lifespan, ensuring compliance, and stabilizing hospital operations.</t>
        </is>
      </c>
      <c r="D149" s="2"/>
      <c r="F149" s="4"/>
      <c r="G149" t="inlineStr" s="2">
        <is>
          <t xml:space="preserve">Häufig finden sich in den Service-Verträgen Reparatur- und Präventions-Leistungen kombiniert. Außerdem ist aufgrund der zunehmenden Konnektivität der Geräte die Tele-Wartung bzw. remote maintenance z. B. Bestandteil der Anlagenüberwachung per FleetView. Damit erhält der Getinge-Service direkt Informationen vom Gerät und kann ein technisches Problem unmittelbar nach Auftreten erkennen oder durch Datenanalyse bereits vorhersagen.</t>
        </is>
      </c>
      <c r="H149" t="inlineStr" s="2">
        <is>
          <t xml:space="preserve">Das ECMO-Gerät ist ausgefallen und ein Patient gerät akut in Lebensgefahr. Oder der OP-Tisch im Hybrid-OP lässt sich nicht mehr bedienen und damit droht der OP-Plan zu platzen. Eine funktionierende Medizintechnik, vom einfachen Diagnosegerät bis hin zu komplexen lebenserhaltenden Maschinen, ist für den reibungslosen Betrieb im Krankenhaus, die Sicherheit von Patient:innen und Anwender:innen sowie für die Gewährleistung einer qualitativ hochwertigen Patient:innenversorgung unerlässlich.</t>
        </is>
      </c>
      <c r="I149" t="inlineStr" s="2">
        <is>
          <t xml:space="preserve">Neben der fachlichen Eignung, den personellen Kapazitäten und der schnellen und zuverlässigen Reaktion eines Serviceanbieters ist es dieses Engagement, was dem Kunden verrät, dass der Anbieter das Umfeld “Krankenhaus“ in seiner Dynamik und medizinischen Brisanz tatsächlich versteht und sein Service-Angebot sich passgenau einfügen lässt. „Wir wissen eben, wie Krankenhaus funktioniert, denn viele unserer Mitarbeiter:innen waren vormals selbst im Krankenhaus beschäftigt“ fasst Becker zusammen.</t>
        </is>
      </c>
      <c r="J149" s="4"/>
      <c r="K149" s="2"/>
      <c r="L149" t="str" s="3">
        <f>HYPERLINK("https://www.getinge.com/de/news-und-events/neuigkeiten/gesundheitswesen/gute-service-technikerinnen-wissen-wie-krankenhaus-funktioniert/","/news-und-events/neuigkeiten/gesundheitswesen/gute-service-technikerinnen-wissen-wie-krankenhaus-funktioniert/")</f>
        <v>/news-und-events/neuigkeiten/gesundheitswesen/gute-service-technikerinnen-wissen-wie-krankenhaus-funktioniert/</v>
      </c>
    </row>
    <row r="150">
      <c r="A150" s="0">
        <v>149</v>
      </c>
      <c r="B150" t="str" s="3">
        <f>HYPERLINK("https://www.getinge.com/int/insights/updates/healthcare/good-service-technicians-know-how-hospitals-work/","/insights/updates/healthcare/good-service-technicians-know-how-hospitals-work/")</f>
        <v>/insights/updates/healthcare/good-service-technicians-know-how-hospitals-work/</v>
      </c>
      <c r="C150" t="inlineStr" s="2">
        <is>
          <t xml:space="preserve">The right service partner supports hospitals not only with technical expertise, but also with transparent planning, reliable availability, and a deep understanding of how hospitals work – every day, when it matters most.</t>
        </is>
      </c>
      <c r="D150" s="2"/>
      <c r="F150" s="4"/>
      <c r="G150" t="inlineStr" s="2">
        <is>
          <t xml:space="preserve">Häufig finden sich in den Service-Verträgen Reparatur- und Präventions-Leistungen kombiniert. Außerdem ist aufgrund der zunehmenden Konnektivität der Geräte die Tele-Wartung bzw. remote maintenance z. B. Bestandteil der Anlagenüberwachung per FleetView. Damit erhält der Getinge-Service direkt Informationen vom Gerät und kann ein technisches Problem unmittelbar nach Auftreten erkennen oder durch Datenanalyse bereits vorhersagen.</t>
        </is>
      </c>
      <c r="H150" s="2"/>
      <c r="I150" s="2"/>
      <c r="J150" s="4"/>
      <c r="K150" s="2"/>
      <c r="L150" t="str" s="3">
        <f>HYPERLINK("https://www.getinge.com/de/news-und-events/neuigkeiten/gesundheitswesen/gute-service-technikerinnen-wissen-wie-krankenhaus-funktioniert/","/news-und-events/neuigkeiten/gesundheitswesen/gute-service-technikerinnen-wissen-wie-krankenhaus-funktioniert/")</f>
        <v>/news-und-events/neuigkeiten/gesundheitswesen/gute-service-technikerinnen-wissen-wie-krankenhaus-funktioniert/</v>
      </c>
    </row>
    <row r="151">
      <c r="A151" s="0">
        <v>150</v>
      </c>
      <c r="B151" t="str" s="3">
        <f>HYPERLINK("https://www.getinge.com/int/insights/updates/healthcare/how-evh-teams-use-game-based-training/","/insights/updates/healthcare/how-evh-teams-use-game-based-training/")</f>
        <v>/insights/updates/healthcare/how-evh-teams-use-game-based-training/</v>
      </c>
      <c r="C151" t="inlineStr" s="2">
        <is>
          <t xml:space="preserve">How EVH teams use game-based training to practice coordination and instrument control</t>
        </is>
      </c>
      <c r="D151" t="inlineStr" s="2">
        <is>
          <t xml:space="preserve">Wie EVH-Teams mit spielbasiertem Training Koordination und Instrumentenführung üben</t>
        </is>
      </c>
      <c r="E151" t="inlineStr" s="0">
        <is>
          <t xml:space="preserve">High</t>
        </is>
      </c>
      <c r="F151" s="4"/>
      <c r="G151" t="inlineStr" s="2">
        <is>
          <t xml:space="preserve">„Das Spiel hilft dabei, die Bewegungen des Instruments kennenzulernen“, sagt Rianne Rijsdijk.</t>
        </is>
      </c>
      <c r="H151" t="inlineStr" s="2">
        <is>
          <t xml:space="preserve">„Anstatt direkt am Patienten zu üben, kann man in einer sicheren Umgebung trainieren.“</t>
        </is>
      </c>
      <c r="I151" t="inlineStr" s="2">
        <is>
          <t xml:space="preserve">Dabei geht es nicht darum, möglichst schnell zu sein. Ziel ist vielmehr eine ruhigere und kontrolliertere Instrumentenführung.</t>
        </is>
      </c>
      <c r="J151" s="4"/>
      <c r="K151" s="2"/>
      <c r="L151" t="str" s="3">
        <f>HYPERLINK("https://www.getinge.com/de/news-und-events/neuigkeiten/gesundheitswesen/wie-evh-teams-spielbasierte-schulungen-einsetzen/","/news-und-events/neuigkeiten/gesundheitswesen/wie-evh-teams-spielbasierte-schulungen-einsetzen/")</f>
        <v>/news-und-events/neuigkeiten/gesundheitswesen/wie-evh-teams-spielbasierte-schulungen-einsetzen/</v>
      </c>
    </row>
    <row r="152">
      <c r="A152" s="0">
        <v>151</v>
      </c>
      <c r="B152" t="str" s="3">
        <f>HYPERLINK("https://www.getinge.com/int/insights/updates/healthcare/how-evh-teams-use-game-based-training/","/insights/updates/healthcare/how-evh-teams-use-game-based-training/")</f>
        <v>/insights/updates/healthcare/how-evh-teams-use-game-based-training/</v>
      </c>
      <c r="C152" t="inlineStr" s="2">
        <is>
          <t xml:space="preserve">Catching virtual rabbits and butterflies may not sound like serious surgical training. But a recent Dutch TV episode from Stand van Nederland: Wereld op Scherp showed this game-based exercise as part of surgical training at UMC Utrecht. Behind the playful interface is a serious objective: training the coordination, screen-based orientation, and instrument control required for Endoscopic Vessel Harvesting (EVH).</t>
        </is>
      </c>
      <c r="D152" t="inlineStr" s="2">
        <is>
          <t xml:space="preserve">Virtuelle Kaninchen und Schmetterlinge zu fangen klingt zunächst nicht nach einer ernsthaften chirurgischen Ausbildung. Doch genau dieses spielbasierte Training zeigte kürzlich die niederländische Fernsehsendung Stand van Nederland: Wereld op Scherp im Rahmen der Ausbildung für die endoskopische Gefäßentnahme am Universitätsklinikum Utrecht (UMC Utrecht). Hinter der spielerischen Oberfläche steckt jedoch ein klar definiertes Ziel: die Schulung von Koordination, Orientierung am Bildschirm und Instrumentenführung – Fähigkeiten, die für die endoskopische Gefäßentnahme (Endoscopic Vessel Harvesting, EVH) essenziell sind.</t>
        </is>
      </c>
      <c r="E152" t="inlineStr" s="0">
        <is>
          <t xml:space="preserve">Medium</t>
        </is>
      </c>
      <c r="F152" s="4"/>
      <c r="G152" t="inlineStr" s="2">
        <is>
          <t xml:space="preserve">Mit der interaktiven Plattform GetPlaying können medizinische Fachkräfte die Navigation über den Bildschirm, die Hand-Auge-Koordination und die Instrumentenkontrolle wiederholt außerhalb des klinischen Umfelds trainieren. Gerade bei minimalinvasiven Verfahren wie EVH kann diese Kombination aus Wiederholung, direktem Feedback und Gamification dazu beitragen, Sicherheit und Konsistenz im Ablauf bereits früh in der Lernkurve zu entwickeln.</t>
        </is>
      </c>
      <c r="H152" t="inlineStr" s="2">
        <is>
          <t xml:space="preserve">Die klinischen Vorteile von EVH gegenüber der offenen Gefäßentnahme sind gut dokumentiert. Dazu gehören kleinere Wunden und eine geringere Belastung für die Patientinnen und Patienten während der Genesung. Gleichzeitig stellt das Verfahren hohe Anforderungen an die ausführenden Personen. Sie arbeiten indirekt über einen Bildschirm statt mit direkter Sicht auf ihre Hände. Bewegungen müssen kontrolliert und präzise innerhalb eines begrenzten anatomischen Raums erfolgen.</t>
        </is>
      </c>
      <c r="I152" t="inlineStr" s="2">
        <is>
          <t xml:space="preserve">Mit der Weiterentwicklung minimalinvasiver Verfahren gewinnt simulationsbasiertes Training zunehmend an Bedeutung in der chirurgischen Aus- und Weiterbildung. Durch die Kombination aus Wiederholung, objektivem Feedback und spielerischen Elementen können EVH-Teams wichtige Fähigkeiten bereits vor dem ersten Eingriff trainieren und so mehr Sicherheit und Routine für die klinische Praxis entwickeln.</t>
        </is>
      </c>
      <c r="J152" s="4"/>
      <c r="K152" s="2"/>
      <c r="L152" t="str" s="3">
        <f>HYPERLINK("https://www.getinge.com/de/news-und-events/neuigkeiten/gesundheitswesen/wie-evh-teams-spielbasierte-schulungen-einsetzen/","/news-und-events/neuigkeiten/gesundheitswesen/wie-evh-teams-spielbasierte-schulungen-einsetzen/")</f>
        <v>/news-und-events/neuigkeiten/gesundheitswesen/wie-evh-teams-spielbasierte-schulungen-einsetzen/</v>
      </c>
    </row>
    <row r="153">
      <c r="A153" s="0">
        <v>152</v>
      </c>
      <c r="B153" t="str" s="3">
        <f>HYPERLINK("https://www.getinge.com/int/insights/updates/healthcare/how-evh-teams-use-game-based-training/","/insights/updates/healthcare/how-evh-teams-use-game-based-training/")</f>
        <v>/insights/updates/healthcare/how-evh-teams-use-game-based-training/</v>
      </c>
      <c r="C153" t="inlineStr" s="2">
        <is>
          <t xml:space="preserve">Game-based training is helping EVH teams develop these skills before entering the operating room, allowing clinicians to build confidence and procedural consistency in a safe training environment.</t>
        </is>
      </c>
      <c r="D153" s="2"/>
      <c r="F153" s="4"/>
      <c r="G153" t="inlineStr" s="2">
        <is>
          <t xml:space="preserve">Die Übungen konzentrieren sich auf Navigation, Hand-Auge-Koordination und Bewegungssteuerung über eine visuelle Benutzeroberfläche. Während des Trainings erhalten die Anwender direktes Feedback darüber, wie effizient und kontrolliert sie arbeiten.</t>
        </is>
      </c>
      <c r="H153" t="inlineStr" s="2">
        <is>
          <t xml:space="preserve">Simulationsbasiertes Training mit spielerischen Elementen unterstützt EVH-Teams dabei, diese Fähigkeiten bereits vor dem ersten Eingriff im Operationssaal zu entwickeln. So können Anwenderinnen und Anwender in einer Trainingsumgebung Sicherheit gewinnen und standardisierte Abläufe einüben.</t>
        </is>
      </c>
      <c r="I153" t="inlineStr" s="2">
        <is>
          <t xml:space="preserve">Der TV-Beitrag griff eine Herausforderung auf, die viele EVH-Programme kennen: Wie können medizinische Fachkräfte die für die minimalinvasive Gefäßentnahme erforderliche Koordination und Instrumentenkontrolle sicher trainieren, bevor sie Eingriffe am Patienten durchführen?</t>
        </is>
      </c>
      <c r="J153" s="4"/>
      <c r="K153" s="2"/>
      <c r="L153" t="str" s="3">
        <f>HYPERLINK("https://www.getinge.com/de/news-und-events/neuigkeiten/gesundheitswesen/wie-evh-teams-spielbasierte-schulungen-einsetzen/","/news-und-events/neuigkeiten/gesundheitswesen/wie-evh-teams-spielbasierte-schulungen-einsetzen/")</f>
        <v>/news-und-events/neuigkeiten/gesundheitswesen/wie-evh-teams-spielbasierte-schulungen-einsetzen/</v>
      </c>
    </row>
    <row r="154">
      <c r="A154" s="0">
        <v>153</v>
      </c>
      <c r="B154" t="str" s="3">
        <f>HYPERLINK("https://www.getinge.com/int/insights/updates/healthcare/how-evh-teams-use-game-based-training/","/insights/updates/healthcare/how-evh-teams-use-game-based-training/")</f>
        <v>/insights/updates/healthcare/how-evh-teams-use-game-based-training/</v>
      </c>
      <c r="C154" t="inlineStr" s="2">
        <is>
          <t xml:space="preserve">Why EVH requires specific skills</t>
        </is>
      </c>
      <c r="D154" s="2"/>
      <c r="F154" s="4"/>
      <c r="G154" t="inlineStr" s="2">
        <is>
          <t xml:space="preserve">Warum EVH besondere Fähigkeiten erfordert</t>
        </is>
      </c>
      <c r="H154" t="inlineStr" s="2">
        <is>
          <t xml:space="preserve">Von der Simulation in die klinische Routine</t>
        </is>
      </c>
      <c r="I154" t="inlineStr" s="2">
        <is>
          <t xml:space="preserve">Bewegungsabläufe außerhalb des OP trainieren</t>
        </is>
      </c>
      <c r="J154" s="4"/>
      <c r="K154" s="2"/>
      <c r="L154" t="str" s="3">
        <f>HYPERLINK("https://www.getinge.com/de/news-und-events/neuigkeiten/gesundheitswesen/wie-evh-teams-spielbasierte-schulungen-einsetzen/","/news-und-events/neuigkeiten/gesundheitswesen/wie-evh-teams-spielbasierte-schulungen-einsetzen/")</f>
        <v>/news-und-events/neuigkeiten/gesundheitswesen/wie-evh-teams-spielbasierte-schulungen-einsetzen/</v>
      </c>
    </row>
    <row r="155">
      <c r="A155" s="0">
        <v>154</v>
      </c>
      <c r="B155" t="str" s="3">
        <f>HYPERLINK("https://www.getinge.com/int/insights/updates/healthcare/how-evh-teams-use-game-based-training/","/insights/updates/healthcare/how-evh-teams-use-game-based-training/")</f>
        <v>/insights/updates/healthcare/how-evh-teams-use-game-based-training/</v>
      </c>
      <c r="C155" t="inlineStr" s="2">
        <is>
          <t xml:space="preserve">EVH is a minimally invasive technique used to harvest veins and/or radial artery for coronary bypass surgery. Instead of creating a long incision along the leg or arm, the vessel is harvested endoscopically through small access points using an endoscopic camera and dedicated harvesting systems such as Vasoview Hemopro 2 from Getinge. Chiara Krebs, OR nurse with surgical skills, explains: “If you needed a 30 cm vein, you made a 30 cm incision. Nowadays we only need two small incisions.”</t>
        </is>
      </c>
      <c r="D155" s="2"/>
      <c r="F155" s="4"/>
      <c r="G155" t="inlineStr" s="2">
        <is>
          <t xml:space="preserve">Virtuelle Kaninchen und Schmetterlinge zu fangen klingt zunächst nicht nach einer ernsthaften chirurgischen Ausbildung. Doch genau dieses spielbasierte Training zeigte kürzlich die niederländische Fernsehsendung Stand van Nederland: Wereld op Scherp im Rahmen der Ausbildung für die endoskopische Gefäßentnahme am Universitätsklinikum Utrecht (UMC Utrecht). Hinter der spielerischen Oberfläche steckt jedoch ein klar definiertes Ziel: die Schulung von Koordination, Orientierung am Bildschirm und Instrumentenführung – Fähigkeiten, die für die endoskopische Gefäßentnahme (Endoscopic Vessel Harvesting, EVH) essenziell sind.</t>
        </is>
      </c>
      <c r="H155" t="inlineStr" s="2">
        <is>
          <t xml:space="preserve">„Wenn früher eine 30 Zentimeter lange Vene benötigt wurde, musste auch ein 30 Zentimeter langer Schnitt gesetzt werden. Heute reichen dafür zwei kleine Inzisionen“, erklärt Chiara Krebs, OP-Pflegekraft mit chirurgischer Zusatzqualifikation.</t>
        </is>
      </c>
      <c r="I155" t="inlineStr" s="2">
        <is>
          <t xml:space="preserve">Die klinischen Vorteile von EVH gegenüber der offenen Gefäßentnahme sind gut dokumentiert. Dazu gehören kleinere Wunden und eine geringere Belastung für die Patientinnen und Patienten während der Genesung. Gleichzeitig stellt das Verfahren hohe Anforderungen an die ausführenden Personen. Sie arbeiten indirekt über einen Bildschirm statt mit direkter Sicht auf ihre Hände. Bewegungen müssen kontrolliert und präzise innerhalb eines begrenzten anatomischen Raums erfolgen.</t>
        </is>
      </c>
      <c r="J155" s="4"/>
      <c r="K155" s="2"/>
      <c r="L155" t="str" s="3">
        <f>HYPERLINK("https://www.getinge.com/de/news-und-events/neuigkeiten/gesundheitswesen/wie-evh-teams-spielbasierte-schulungen-einsetzen/","/news-und-events/neuigkeiten/gesundheitswesen/wie-evh-teams-spielbasierte-schulungen-einsetzen/")</f>
        <v>/news-und-events/neuigkeiten/gesundheitswesen/wie-evh-teams-spielbasierte-schulungen-einsetzen/</v>
      </c>
    </row>
    <row r="156">
      <c r="A156" s="0">
        <v>155</v>
      </c>
      <c r="B156" t="str" s="3">
        <f>HYPERLINK("https://www.getinge.com/int/insights/updates/healthcare/how-evh-teams-use-game-based-training/","/insights/updates/healthcare/how-evh-teams-use-game-based-training/")</f>
        <v>/insights/updates/healthcare/how-evh-teams-use-game-based-training/</v>
      </c>
      <c r="C156" t="inlineStr" s="2">
        <is>
          <t xml:space="preserve">Practicing movements outside the OR</t>
        </is>
      </c>
      <c r="D156" s="2"/>
      <c r="F156" s="4"/>
      <c r="G156" t="inlineStr" s="2">
        <is>
          <t xml:space="preserve">Warum EVH besondere Fähigkeiten erfordert</t>
        </is>
      </c>
      <c r="H156" t="inlineStr" s="2">
        <is>
          <t xml:space="preserve">Von der Simulation in die klinische Routine</t>
        </is>
      </c>
      <c r="I156" t="inlineStr" s="2">
        <is>
          <t xml:space="preserve">Bewegungsabläufe außerhalb des OP trainieren</t>
        </is>
      </c>
      <c r="J156" s="4"/>
      <c r="K156" s="2"/>
      <c r="L156" t="str" s="3">
        <f>HYPERLINK("https://www.getinge.com/de/news-und-events/neuigkeiten/gesundheitswesen/wie-evh-teams-spielbasierte-schulungen-einsetzen/","/news-und-events/neuigkeiten/gesundheitswesen/wie-evh-teams-spielbasierte-schulungen-einsetzen/")</f>
        <v>/news-und-events/neuigkeiten/gesundheitswesen/wie-evh-teams-spielbasierte-schulungen-einsetzen/</v>
      </c>
    </row>
    <row r="157">
      <c r="A157" s="0">
        <v>156</v>
      </c>
      <c r="B157" t="str" s="3">
        <f>HYPERLINK("https://www.getinge.com/int/insights/updates/healthcare/how-evh-teams-use-game-based-training/","/insights/updates/healthcare/how-evh-teams-use-game-based-training/")</f>
        <v>/insights/updates/healthcare/how-evh-teams-use-game-based-training/</v>
      </c>
      <c r="C157" t="inlineStr" s="2">
        <is>
          <t xml:space="preserve">The TV segment highlighted a challenge familiar to many EVH programs: How can clinicians safely develop the coordination and instrument control required for minimally invasive vessel harvesting before performing procedures on patients?</t>
        </is>
      </c>
      <c r="D157" t="inlineStr" s="2">
        <is>
          <t xml:space="preserve">Der TV-Beitrag griff eine Herausforderung auf, die viele EVH-Programme kennen: Wie können medizinische Fachkräfte die für die minimalinvasive Gefäßentnahme erforderliche Koordination und Instrumentenkontrolle sicher trainieren, bevor sie Eingriffe am Patienten durchführen?</t>
        </is>
      </c>
      <c r="E157" t="inlineStr" s="0">
        <is>
          <t xml:space="preserve">Medium</t>
        </is>
      </c>
      <c r="F157" s="4"/>
      <c r="G157" t="inlineStr" s="2">
        <is>
          <t xml:space="preserve">Gerade diese Koordination zwischen Instrumentenführung und Bildschirmdarstellung macht EVH zu einem anspruchsvollen Verfahren. Wiederholtes Üben im klinischen Alltag ist naturgemäß begrenzt, während die Qualität des entnommenen Gefäßes wesentlich von einer schonenden Gewebepräparation abhängt.</t>
        </is>
      </c>
      <c r="H157" t="inlineStr" s="2">
        <is>
          <t xml:space="preserve">Gleichzeitig betonen die Anwender, dass Simulation die reale chirurgische Erfahrung nicht vollständig ersetzen kann. Faktoren wie Gewebewiderstand, Rauchentwicklung während des Eingriffs oder die Verantwortung gegenüber einem Patienten lassen sich nur im klinischen Umfeld erleben.</t>
        </is>
      </c>
      <c r="I157" t="inlineStr" s="2">
        <is>
          <t xml:space="preserve">Die Übungen konzentrieren sich auf Navigation, Hand-Auge-Koordination und Bewegungssteuerung über eine visuelle Benutzeroberfläche. Während des Trainings erhalten die Anwender direktes Feedback darüber, wie effizient und kontrolliert sie arbeiten.</t>
        </is>
      </c>
      <c r="J157" s="4"/>
      <c r="K157" s="2"/>
      <c r="L157" t="str" s="3">
        <f>HYPERLINK("https://www.getinge.com/de/news-und-events/neuigkeiten/gesundheitswesen/wie-evh-teams-spielbasierte-schulungen-einsetzen/","/news-und-events/neuigkeiten/gesundheitswesen/wie-evh-teams-spielbasierte-schulungen-einsetzen/")</f>
        <v>/news-und-events/neuigkeiten/gesundheitswesen/wie-evh-teams-spielbasierte-schulungen-einsetzen/</v>
      </c>
    </row>
    <row r="158">
      <c r="A158" s="0">
        <v>157</v>
      </c>
      <c r="B158" t="str" s="3">
        <f>HYPERLINK("https://www.getinge.com/int/insights/updates/healthcare/how-evh-teams-use-game-based-training/","/insights/updates/healthcare/how-evh-teams-use-game-based-training/")</f>
        <v>/insights/updates/healthcare/how-evh-teams-use-game-based-training/</v>
      </c>
      <c r="C158" t="inlineStr" s="2">
        <is>
          <t xml:space="preserve">At UMC Utrecht, clinicians use Getinge's GetPlaying EVH training game to train exactly these types of movements while incorporating elements of gamification. This approach is often referred to as "serious gaming" – the use of game-based environments for educational and professional skill development. Exercises focus on navigation, hand-eye coordination, and movement control while working through a visual interface. During training, users receive direct feedback on how efficiently they move.</t>
        </is>
      </c>
      <c r="D158" s="2"/>
      <c r="F158" s="4"/>
      <c r="G158" t="inlineStr" s="2">
        <is>
          <t xml:space="preserve">Mit der interaktiven Plattform GetPlaying können medizinische Fachkräfte die Navigation über den Bildschirm, die Hand-Auge-Koordination und die Instrumentenkontrolle wiederholt außerhalb des klinischen Umfelds trainieren. Gerade bei minimalinvasiven Verfahren wie EVH kann diese Kombination aus Wiederholung, direktem Feedback und Gamification dazu beitragen, Sicherheit und Konsistenz im Ablauf bereits früh in der Lernkurve zu entwickeln.</t>
        </is>
      </c>
      <c r="H158" t="inlineStr" s="2">
        <is>
          <t xml:space="preserve">Virtuelle Kaninchen und Schmetterlinge zu fangen klingt zunächst nicht nach einer ernsthaften chirurgischen Ausbildung. Doch genau dieses spielbasierte Training zeigte kürzlich die niederländische Fernsehsendung Stand van Nederland: Wereld op Scherp im Rahmen der Ausbildung für die endoskopische Gefäßentnahme am Universitätsklinikum Utrecht (UMC Utrecht). Hinter der spielerischen Oberfläche steckt jedoch ein klar definiertes Ziel: die Schulung von Koordination, Orientierung am Bildschirm und Instrumentenführung – Fähigkeiten, die für die endoskopische Gefäßentnahme (Endoscopic Vessel Harvesting, EVH) essenziell sind.</t>
        </is>
      </c>
      <c r="I158" t="inlineStr" s="2">
        <is>
          <t xml:space="preserve">Die klinischen Vorteile von EVH gegenüber der offenen Gefäßentnahme sind gut dokumentiert. Dazu gehören kleinere Wunden und eine geringere Belastung für die Patientinnen und Patienten während der Genesung. Gleichzeitig stellt das Verfahren hohe Anforderungen an die ausführenden Personen. Sie arbeiten indirekt über einen Bildschirm statt mit direkter Sicht auf ihre Hände. Bewegungen müssen kontrolliert und präzise innerhalb eines begrenzten anatomischen Raums erfolgen.</t>
        </is>
      </c>
      <c r="J158" s="4"/>
      <c r="K158" s="2"/>
      <c r="L158" t="str" s="3">
        <f>HYPERLINK("https://www.getinge.com/de/news-und-events/neuigkeiten/gesundheitswesen/wie-evh-teams-spielbasierte-schulungen-einsetzen/","/news-und-events/neuigkeiten/gesundheitswesen/wie-evh-teams-spielbasierte-schulungen-einsetzen/")</f>
        <v>/news-und-events/neuigkeiten/gesundheitswesen/wie-evh-teams-spielbasierte-schulungen-einsetzen/</v>
      </c>
    </row>
    <row r="159">
      <c r="A159" s="0">
        <v>158</v>
      </c>
      <c r="B159" t="str" s="3">
        <f>HYPERLINK("https://www.getinge.com/int/insights/updates/healthcare/how-evh-teams-use-game-based-training/","/insights/updates/healthcare/how-evh-teams-use-game-based-training/")</f>
        <v>/insights/updates/healthcare/how-evh-teams-use-game-based-training/</v>
      </c>
      <c r="C159" t="inlineStr" s="2">
        <is>
          <t xml:space="preserve">One exercise involves following and catching virtual rabbits and butterflies with the instrument while tracking movement counts and overall scores. „I still find it incredible that you can play a game and apply it to a real human body”, describes Rianne Rijsdijk, Physician Assistant at UMC Utrecht, the connection between game-based training and clinical practice.</t>
        </is>
      </c>
      <c r="D159" s="2"/>
      <c r="F159" s="4"/>
      <c r="G159" t="inlineStr" s="2">
        <is>
          <t xml:space="preserve">Mit der interaktiven Plattform GetPlaying können medizinische Fachkräfte die Navigation über den Bildschirm, die Hand-Auge-Koordination und die Instrumentenkontrolle wiederholt außerhalb des klinischen Umfelds trainieren. Gerade bei minimalinvasiven Verfahren wie EVH kann diese Kombination aus Wiederholung, direktem Feedback und Gamification dazu beitragen, Sicherheit und Konsistenz im Ablauf bereits früh in der Lernkurve zu entwickeln.</t>
        </is>
      </c>
      <c r="H159" t="inlineStr" s="2">
        <is>
          <t xml:space="preserve">Mit der Weiterentwicklung minimalinvasiver Verfahren gewinnt simulationsbasiertes Training zunehmend an Bedeutung in der chirurgischen Aus- und Weiterbildung. Durch die Kombination aus Wiederholung, objektivem Feedback und spielerischen Elementen können EVH-Teams wichtige Fähigkeiten bereits vor dem ersten Eingriff trainieren und so mehr Sicherheit und Routine für die klinische Praxis entwickeln.</t>
        </is>
      </c>
      <c r="I159" t="inlineStr" s="2">
        <is>
          <t xml:space="preserve">Die klinischen Vorteile von EVH gegenüber der offenen Gefäßentnahme sind gut dokumentiert. Dazu gehören kleinere Wunden und eine geringere Belastung für die Patientinnen und Patienten während der Genesung. Gleichzeitig stellt das Verfahren hohe Anforderungen an die ausführenden Personen. Sie arbeiten indirekt über einen Bildschirm statt mit direkter Sicht auf ihre Hände. Bewegungen müssen kontrolliert und präzise innerhalb eines begrenzten anatomischen Raums erfolgen.</t>
        </is>
      </c>
      <c r="J159" s="4"/>
      <c r="K159" s="2"/>
      <c r="L159" t="str" s="3">
        <f>HYPERLINK("https://www.getinge.com/de/news-und-events/neuigkeiten/gesundheitswesen/wie-evh-teams-spielbasierte-schulungen-einsetzen/","/news-und-events/neuigkeiten/gesundheitswesen/wie-evh-teams-spielbasierte-schulungen-einsetzen/")</f>
        <v>/news-und-events/neuigkeiten/gesundheitswesen/wie-evh-teams-spielbasierte-schulungen-einsetzen/</v>
      </c>
    </row>
    <row r="160">
      <c r="A160" s="0">
        <v>159</v>
      </c>
      <c r="B160" t="str" s="3">
        <f>HYPERLINK("https://www.getinge.com/int/insights/updates/healthcare/how-evh-teams-use-game-based-training/","/insights/updates/healthcare/how-evh-teams-use-game-based-training/")</f>
        <v>/insights/updates/healthcare/how-evh-teams-use-game-based-training/</v>
      </c>
      <c r="C160" t="inlineStr" s="2">
        <is>
          <t xml:space="preserve">The goal is not speed, but smoother and more controlled instrument handling. “The idea is to practice calmer and fewer movements. That is better for the patient because it causes less damage,” explains Rianne Rijsdijk. The approach also allows clinicians to repeat movements many times before performing them in the OR. “Instead of practicing on patients, you can train in a safe environment.”</t>
        </is>
      </c>
      <c r="D160" s="2"/>
      <c r="F160" s="4"/>
      <c r="G160" t="inlineStr" s="2">
        <is>
          <t xml:space="preserve">Die klinischen Vorteile von EVH gegenüber der offenen Gefäßentnahme sind gut dokumentiert. Dazu gehören kleinere Wunden und eine geringere Belastung für die Patientinnen und Patienten während der Genesung. Gleichzeitig stellt das Verfahren hohe Anforderungen an die ausführenden Personen. Sie arbeiten indirekt über einen Bildschirm statt mit direkter Sicht auf ihre Hände. Bewegungen müssen kontrolliert und präzise innerhalb eines begrenzten anatomischen Raums erfolgen.</t>
        </is>
      </c>
      <c r="H160" t="inlineStr" s="2">
        <is>
          <t xml:space="preserve">Mit der interaktiven Plattform GetPlaying können medizinische Fachkräfte die Navigation über den Bildschirm, die Hand-Auge-Koordination und die Instrumentenkontrolle wiederholt außerhalb des klinischen Umfelds trainieren. Gerade bei minimalinvasiven Verfahren wie EVH kann diese Kombination aus Wiederholung, direktem Feedback und Gamification dazu beitragen, Sicherheit und Konsistenz im Ablauf bereits früh in der Lernkurve zu entwickeln.</t>
        </is>
      </c>
      <c r="I160" t="inlineStr" s="2">
        <is>
          <t xml:space="preserve">Mit der Weiterentwicklung minimalinvasiver Verfahren gewinnt simulationsbasiertes Training zunehmend an Bedeutung in der chirurgischen Aus- und Weiterbildung. Durch die Kombination aus Wiederholung, objektivem Feedback und spielerischen Elementen können EVH-Teams wichtige Fähigkeiten bereits vor dem ersten Eingriff trainieren und so mehr Sicherheit und Routine für die klinische Praxis entwickeln.</t>
        </is>
      </c>
      <c r="J160" s="4"/>
      <c r="K160" s="2"/>
      <c r="L160" t="str" s="3">
        <f>HYPERLINK("https://www.getinge.com/de/news-und-events/neuigkeiten/gesundheitswesen/wie-evh-teams-spielbasierte-schulungen-einsetzen/","/news-und-events/neuigkeiten/gesundheitswesen/wie-evh-teams-spielbasierte-schulungen-einsetzen/")</f>
        <v>/news-und-events/neuigkeiten/gesundheitswesen/wie-evh-teams-spielbasierte-schulungen-einsetzen/</v>
      </c>
    </row>
    <row r="161">
      <c r="A161" s="0">
        <v>160</v>
      </c>
      <c r="B161" t="str" s="3">
        <f>HYPERLINK("https://www.getinge.com/int/insights/updates/healthcare/how-evh-teams-use-game-based-training/","/insights/updates/healthcare/how-evh-teams-use-game-based-training/")</f>
        <v>/insights/updates/healthcare/how-evh-teams-use-game-based-training/</v>
      </c>
      <c r="C161" t="inlineStr" s="2">
        <is>
          <t xml:space="preserve">From game-based training to clinical routine</t>
        </is>
      </c>
      <c r="D161" t="inlineStr" s="2">
        <is>
          <t xml:space="preserve">Von der Simulation in die klinische Routine</t>
        </is>
      </c>
      <c r="E161" t="inlineStr" s="0">
        <is>
          <t xml:space="preserve">Medium</t>
        </is>
      </c>
      <c r="F161" s="4"/>
      <c r="G161" t="inlineStr" s="2">
        <is>
          <t xml:space="preserve">Bewegungsabläufe außerhalb des OP trainieren</t>
        </is>
      </c>
      <c r="H161" t="inlineStr" s="2">
        <is>
          <t xml:space="preserve">Warum EVH besondere Fähigkeiten erfordert</t>
        </is>
      </c>
      <c r="I161" t="inlineStr" s="2">
        <is>
          <t xml:space="preserve">Simulation als wichtiger Bestandteil der chirurgischen Ausbildung</t>
        </is>
      </c>
      <c r="J161" s="4"/>
      <c r="K161" s="2"/>
      <c r="L161" t="str" s="3">
        <f>HYPERLINK("https://www.getinge.com/de/news-und-events/neuigkeiten/gesundheitswesen/wie-evh-teams-spielbasierte-schulungen-einsetzen/","/news-und-events/neuigkeiten/gesundheitswesen/wie-evh-teams-spielbasierte-schulungen-einsetzen/")</f>
        <v>/news-und-events/neuigkeiten/gesundheitswesen/wie-evh-teams-spielbasierte-schulungen-einsetzen/</v>
      </c>
    </row>
    <row r="162">
      <c r="A162" s="0">
        <v>161</v>
      </c>
      <c r="B162" t="str" s="3">
        <f>HYPERLINK("https://www.getinge.com/int/insights/updates/healthcare/how-evh-teams-use-game-based-training/","/insights/updates/healthcare/how-evh-teams-use-game-based-training/")</f>
        <v>/insights/updates/healthcare/how-evh-teams-use-game-based-training/</v>
      </c>
      <c r="C162" t="inlineStr" s="2">
        <is>
          <t xml:space="preserve">At UMC Utrecht, EVH has now been part of clinical routine for ten years, with around 3,000 procedures performed. Over time, interactive training has become increasingly integrated into the learning process. At the same time, clinicians emphasize that simulation and game-based training do not fully replace real surgical experience. Tissue resistance, smoke generation, and the responsibility of operating on a patient remain part of the real procedure.</t>
        </is>
      </c>
      <c r="D162" s="2"/>
      <c r="F162" s="4"/>
      <c r="G162" t="inlineStr" s="2">
        <is>
          <t xml:space="preserve">Am UMC Utrecht gehört EVH inzwischen seit zehn Jahren zur klinischen Routine. In diesem Zeitraum wurden rund 3.000 Eingriffe durchgeführt. Simulationsbasiertes Training ist dabei zunehmend zu einem festen Bestandteil des Lernprozesses geworden.</t>
        </is>
      </c>
      <c r="H162" t="inlineStr" s="2">
        <is>
          <t xml:space="preserve">Die klinischen Vorteile von EVH gegenüber der offenen Gefäßentnahme sind gut dokumentiert. Dazu gehören kleinere Wunden und eine geringere Belastung für die Patientinnen und Patienten während der Genesung. Gleichzeitig stellt das Verfahren hohe Anforderungen an die ausführenden Personen. Sie arbeiten indirekt über einen Bildschirm statt mit direkter Sicht auf ihre Hände. Bewegungen müssen kontrolliert und präzise innerhalb eines begrenzten anatomischen Raums erfolgen.</t>
        </is>
      </c>
      <c r="I162" t="inlineStr" s="2">
        <is>
          <t xml:space="preserve">Mit der interaktiven Plattform GetPlaying können medizinische Fachkräfte die Navigation über den Bildschirm, die Hand-Auge-Koordination und die Instrumentenkontrolle wiederholt außerhalb des klinischen Umfelds trainieren. Gerade bei minimalinvasiven Verfahren wie EVH kann diese Kombination aus Wiederholung, direktem Feedback und Gamification dazu beitragen, Sicherheit und Konsistenz im Ablauf bereits früh in der Lernkurve zu entwickeln.</t>
        </is>
      </c>
      <c r="J162" s="4"/>
      <c r="K162" s="2"/>
      <c r="L162" t="str" s="3">
        <f>HYPERLINK("https://www.getinge.com/de/news-und-events/neuigkeiten/gesundheitswesen/wie-evh-teams-spielbasierte-schulungen-einsetzen/","/news-und-events/neuigkeiten/gesundheitswesen/wie-evh-teams-spielbasierte-schulungen-einsetzen/")</f>
        <v>/news-und-events/neuigkeiten/gesundheitswesen/wie-evh-teams-spielbasierte-schulungen-einsetzen/</v>
      </c>
    </row>
    <row r="163">
      <c r="A163" s="0">
        <v>162</v>
      </c>
      <c r="B163" t="str" s="3">
        <f>HYPERLINK("https://www.getinge.com/int/insights/updates/healthcare/how-evh-teams-use-game-based-training/","/insights/updates/healthcare/how-evh-teams-use-game-based-training/")</f>
        <v>/insights/updates/healthcare/how-evh-teams-use-game-based-training/</v>
      </c>
      <c r="C163" t="inlineStr" s="2">
        <is>
          <t xml:space="preserve">Still, becoming familiar with the instrument movements beforehand can make the transition into clinical practice easier. “The game helps to become familiar with the movements of the instrument,” says Rianne Rijsdijk.</t>
        </is>
      </c>
      <c r="D163" s="2"/>
      <c r="F163" s="4"/>
      <c r="G163" t="inlineStr" s="2">
        <is>
          <t xml:space="preserve">„Ich finde es immer noch faszinierend, dass man ein Spiel spielen und die dabei erlernten Fähigkeiten auf den menschlichen Körper übertragen kann“, beschreibt Rianne Rijsdijk, Physician Assistant am UMC Utrecht, die Verbindung zwischen Simulation und klinischer Praxis.</t>
        </is>
      </c>
      <c r="H163" t="inlineStr" s="2">
        <is>
          <t xml:space="preserve">Der TV-Beitrag griff eine Herausforderung auf, die viele EVH-Programme kennen: Wie können medizinische Fachkräfte die für die minimalinvasive Gefäßentnahme erforderliche Koordination und Instrumentenkontrolle sicher trainieren, bevor sie Eingriffe am Patienten durchführen?</t>
        </is>
      </c>
      <c r="I163" t="inlineStr" s="2">
        <is>
          <t xml:space="preserve">Die Übungen konzentrieren sich auf Navigation, Hand-Auge-Koordination und Bewegungssteuerung über eine visuelle Benutzeroberfläche. Während des Trainings erhalten die Anwender direktes Feedback darüber, wie effizient und kontrolliert sie arbeiten.</t>
        </is>
      </c>
      <c r="J163" s="4"/>
      <c r="K163" s="2"/>
      <c r="L163" t="str" s="3">
        <f>HYPERLINK("https://www.getinge.com/de/news-und-events/neuigkeiten/gesundheitswesen/wie-evh-teams-spielbasierte-schulungen-einsetzen/","/news-und-events/neuigkeiten/gesundheitswesen/wie-evh-teams-spielbasierte-schulungen-einsetzen/")</f>
        <v>/news-und-events/neuigkeiten/gesundheitswesen/wie-evh-teams-spielbasierte-schulungen-einsetzen/</v>
      </c>
    </row>
    <row r="164">
      <c r="A164" s="0">
        <v>163</v>
      </c>
      <c r="B164" t="str" s="3">
        <f>HYPERLINK("https://www.getinge.com/int/insights/updates/healthcare/how-evh-teams-use-game-based-training/","/insights/updates/healthcare/how-evh-teams-use-game-based-training/")</f>
        <v>/insights/updates/healthcare/how-evh-teams-use-game-based-training/</v>
      </c>
      <c r="C164" t="inlineStr" s="2">
        <is>
          <t xml:space="preserve">With Getinge's GetPlaying EVH training game, clinicians can repeatedly practice screen-based navigation, hand-eye coordination, and instrument control outside the clinical setting. Especially in minimally invasive procedures such as EVH, this combination of repetition, feedback, and gamification may help teams build procedural confidence and consistency earlier in the learning curve.</t>
        </is>
      </c>
      <c r="D164" t="inlineStr" s="2">
        <is>
          <t xml:space="preserve">Mit der interaktiven Plattform GetPlaying können medizinische Fachkräfte die Navigation über den Bildschirm, die Hand-Auge-Koordination und die Instrumentenkontrolle wiederholt außerhalb des klinischen Umfelds trainieren. Gerade bei minimalinvasiven Verfahren wie EVH kann diese Kombination aus Wiederholung, direktem Feedback und Gamification dazu beitragen, Sicherheit und Konsistenz im Ablauf bereits früh in der Lernkurve zu entwickeln.</t>
        </is>
      </c>
      <c r="E164" t="inlineStr" s="0">
        <is>
          <t xml:space="preserve">Medium</t>
        </is>
      </c>
      <c r="F164" s="4"/>
      <c r="G164" t="inlineStr" s="2">
        <is>
          <t xml:space="preserve">Mit der Weiterentwicklung minimalinvasiver Verfahren gewinnt simulationsbasiertes Training zunehmend an Bedeutung in der chirurgischen Aus- und Weiterbildung. Durch die Kombination aus Wiederholung, objektivem Feedback und spielerischen Elementen können EVH-Teams wichtige Fähigkeiten bereits vor dem ersten Eingriff trainieren und so mehr Sicherheit und Routine für die klinische Praxis entwickeln.</t>
        </is>
      </c>
      <c r="H164" t="inlineStr" s="2">
        <is>
          <t xml:space="preserve">Die klinischen Vorteile von EVH gegenüber der offenen Gefäßentnahme sind gut dokumentiert. Dazu gehören kleinere Wunden und eine geringere Belastung für die Patientinnen und Patienten während der Genesung. Gleichzeitig stellt das Verfahren hohe Anforderungen an die ausführenden Personen. Sie arbeiten indirekt über einen Bildschirm statt mit direkter Sicht auf ihre Hände. Bewegungen müssen kontrolliert und präzise innerhalb eines begrenzten anatomischen Raums erfolgen.</t>
        </is>
      </c>
      <c r="I164" t="inlineStr" s="2">
        <is>
          <t xml:space="preserve">Die am UMC Utrecht eingesetzte Simulationsplattform GetPlaying wurde speziell entwickelt, um genau diese Bewegungsabläufe zu trainieren und dabei Elemente der Gamification zu integrieren. Dieser Ansatz wird häufig als „Serious Gaming“ bezeichnet – der Einsatz spielbasierter Umgebungen für Bildungs- und Trainingszwecke im professionellen Kontext.</t>
        </is>
      </c>
      <c r="J164" s="4"/>
      <c r="K164" s="2"/>
      <c r="L164" t="str" s="3">
        <f>HYPERLINK("https://www.getinge.com/de/news-und-events/neuigkeiten/gesundheitswesen/wie-evh-teams-spielbasierte-schulungen-einsetzen/","/news-und-events/neuigkeiten/gesundheitswesen/wie-evh-teams-spielbasierte-schulungen-einsetzen/")</f>
        <v>/news-und-events/neuigkeiten/gesundheitswesen/wie-evh-teams-spielbasierte-schulungen-einsetzen/</v>
      </c>
    </row>
    <row r="165">
      <c r="A165" s="0">
        <v>164</v>
      </c>
      <c r="B165" t="str" s="3">
        <f>HYPERLINK("https://www.getinge.com/int/insights/updates/healthcare/how-evh-teams-use-game-based-training/","/insights/updates/healthcare/how-evh-teams-use-game-based-training/")</f>
        <v>/insights/updates/healthcare/how-evh-teams-use-game-based-training/</v>
      </c>
      <c r="C165" t="inlineStr" s="2">
        <is>
          <t xml:space="preserve">As minimally invasive techniques continue to evolve, game-based training is becoming an increasingly valuable part of surgical education. By combining repetition, objective feedback, and gamification, EVH teams can develop procedural confidence and consistency earlier in the learning curve – before stepping into the operating room.</t>
        </is>
      </c>
      <c r="D165" t="inlineStr" s="2">
        <is>
          <t xml:space="preserve">Mit der Weiterentwicklung minimalinvasiver Verfahren gewinnt simulationsbasiertes Training zunehmend an Bedeutung in der chirurgischen Aus- und Weiterbildung. Durch die Kombination aus Wiederholung, objektivem Feedback und spielerischen Elementen können EVH-Teams wichtige Fähigkeiten bereits vor dem ersten Eingriff trainieren und so mehr Sicherheit und Routine für die klinische Praxis entwickeln.</t>
        </is>
      </c>
      <c r="E165" t="inlineStr" s="0">
        <is>
          <t xml:space="preserve">Medium</t>
        </is>
      </c>
      <c r="F165" s="4"/>
      <c r="G165" t="inlineStr" s="2">
        <is>
          <t xml:space="preserve">Mit der interaktiven Plattform GetPlaying können medizinische Fachkräfte die Navigation über den Bildschirm, die Hand-Auge-Koordination und die Instrumentenkontrolle wiederholt außerhalb des klinischen Umfelds trainieren. Gerade bei minimalinvasiven Verfahren wie EVH kann diese Kombination aus Wiederholung, direktem Feedback und Gamification dazu beitragen, Sicherheit und Konsistenz im Ablauf bereits früh in der Lernkurve zu entwickeln.</t>
        </is>
      </c>
      <c r="H165" t="inlineStr" s="2">
        <is>
          <t xml:space="preserve">Die am UMC Utrecht eingesetzte Simulationsplattform GetPlaying wurde speziell entwickelt, um genau diese Bewegungsabläufe zu trainieren und dabei Elemente der Gamification zu integrieren. Dieser Ansatz wird häufig als „Serious Gaming“ bezeichnet – der Einsatz spielbasierter Umgebungen für Bildungs- und Trainingszwecke im professionellen Kontext.</t>
        </is>
      </c>
      <c r="I165" t="inlineStr" s="2">
        <is>
          <t xml:space="preserve">EVH ist ein minimalinvasives Verfahren zur Entnahme von Venen und/oder der Arteria radialis für koronare Bypass-Operationen. Anstatt einen langen Schnitt entlang des Beins vorzunehmen, wird das Gefäß mithilfe einer Kamera und spezieller Entnahmesysteme wie Vasoview von Getinge über kleine Zugänge endoskopisch präpariert.</t>
        </is>
      </c>
      <c r="J165" s="4"/>
      <c r="K165" s="2"/>
      <c r="L165" t="str" s="3">
        <f>HYPERLINK("https://www.getinge.com/de/news-und-events/neuigkeiten/gesundheitswesen/wie-evh-teams-spielbasierte-schulungen-einsetzen/","/news-und-events/neuigkeiten/gesundheitswesen/wie-evh-teams-spielbasierte-schulungen-einsetzen/")</f>
        <v>/news-und-events/neuigkeiten/gesundheitswesen/wie-evh-teams-spielbasierte-schulungen-einsetzen/</v>
      </c>
    </row>
    <row r="166">
      <c r="A166" s="0">
        <v>165</v>
      </c>
      <c r="B166" t="str" s="3">
        <f>HYPERLINK("https://www.getinge.com/int/insights/updates/healthcare/how-spital-limmattal-achieves-excellence-in-sterile-reprocessing/","/insights/updates/healthcare/how-spital-limmattal-achieves-excellence-in-sterile-reprocessing/")</f>
        <v>/insights/updates/healthcare/how-spital-limmattal-achieves-excellence-in-sterile-reprocessing/</v>
      </c>
      <c r="C166" t="inlineStr" s="2">
        <is>
          <t xml:space="preserve">Infections cost money. Central sterilization is the first step toward effective infection prevention in hospitals.</t>
        </is>
      </c>
      <c r="D166" t="inlineStr" s="2">
        <is>
          <t xml:space="preserve">Infektionen verursachen Kosten. Die zentrale Sterilisation ist der erste Schritt zu einer wirksamen Infektionsprävention in Krankenhäusern.</t>
        </is>
      </c>
      <c r="E166" t="inlineStr" s="0">
        <is>
          <t xml:space="preserve">Medium</t>
        </is>
      </c>
      <c r="F166" s="4"/>
      <c r="G166" t="inlineStr" s="2">
        <is>
          <t xml:space="preserve">Bereits zu Beginn verfolgte das Team drei klare Ziele: den Ausbau der AEMP, die Integration einer spezialisierten Endoskopaufbereitung sowie die Einführung einer vollständigen Rückverfolgung. „Idealerweise aus einer Hand.</t>
        </is>
      </c>
      <c r="H166" s="2"/>
      <c r="I166" s="2"/>
      <c r="J166" s="4"/>
      <c r="K166" s="2"/>
      <c r="L166" t="str" s="3">
        <f>HYPERLINK("https://www.getinge.com/de/news-und-events/neuigkeiten/gesundheitswesen/spital-limmattal-cssd/","/news-und-events/neuigkeiten/gesundheitswesen/spital-limmattal-cssd/")</f>
        <v>/news-und-events/neuigkeiten/gesundheitswesen/spital-limmattal-cssd/</v>
      </c>
    </row>
    <row r="167">
      <c r="A167" s="0">
        <v>166</v>
      </c>
      <c r="B167" t="str" s="3">
        <f>HYPERLINK("https://www.getinge.com/int/insights/updates/healthcare/how-spital-limmattal-achieves-excellence-in-sterile-reprocessing/","/insights/updates/healthcare/how-spital-limmattal-achieves-excellence-in-sterile-reprocessing/")</f>
        <v>/insights/updates/healthcare/how-spital-limmattal-achieves-excellence-in-sterile-reprocessing/</v>
      </c>
      <c r="C167" t="inlineStr" s="2">
        <is>
          <t xml:space="preserve">“At the time, we had three key objectives: to rebuild our CSSD, to integrate specialized reprocessing for flexible endoscopes, and to implement batch traceability — ideally from a single source. That’s why we chose Getinge,” adds Dominik Lacher, Head of Medical Technology at Spital Limmattal.</t>
        </is>
      </c>
      <c r="D167" s="2"/>
      <c r="F167" s="4"/>
      <c r="G167" t="inlineStr" s="2">
        <is>
          <t xml:space="preserve">Bereits zu Beginn verfolgte das Team drei klare Ziele: den Ausbau der AEMP, die Integration einer spezialisierten Endoskopaufbereitung sowie die Einführung einer vollständigen Rückverfolgung. „Idealerweise aus einer Hand.</t>
        </is>
      </c>
      <c r="H167" t="inlineStr" s="2">
        <is>
          <t xml:space="preserve">Krankenhausinfektionen bleiben weltweit ein großes Problem. Im Durchschnitt entwickeln mehr als fünf Prozent der Patienten in der EU eine sogenannte nosokomiale Infektion (HAI). Solche Infektionen, die Patientinnen und Patienten zusätzlich zur eigentlichen Grunderkrankung treffen, sollten durch wirksame Präventionsmaßnahmen so weit wie möglich minimiert werden. Das schweizerische Spital Limmattal hat daher die hauseigene Aufbereitungs-Einheit für Medizinprodukte (AEMP) neu konzipiert. Heute erfüllt die optimierte Sterilisationsabteilung die höchsten Qualitätsstandards und ist zudem für die Aufbereitung von Medizinprodukten für Dritte zertifiziert.</t>
        </is>
      </c>
      <c r="I167" s="2"/>
      <c r="J167" s="4"/>
      <c r="K167" s="2"/>
      <c r="L167" t="str" s="3">
        <f>HYPERLINK("https://www.getinge.com/de/news-und-events/neuigkeiten/gesundheitswesen/spital-limmattal-cssd/","/news-und-events/neuigkeiten/gesundheitswesen/spital-limmattal-cssd/")</f>
        <v>/news-und-events/neuigkeiten/gesundheitswesen/spital-limmattal-cssd/</v>
      </c>
    </row>
    <row r="168">
      <c r="A168" s="0">
        <v>167</v>
      </c>
      <c r="B168" t="str" s="3">
        <f>HYPERLINK("https://www.getinge.com/int/insights/updates/healthcare/integrated-operating-room/","/insights/updates/healthcare/integrated-operating-room/")</f>
        <v>/insights/updates/healthcare/integrated-operating-room/</v>
      </c>
      <c r="C168" t="inlineStr" s="2">
        <is>
          <t xml:space="preserve">Today, numerous devices, systems, and data sources come together in the operating room – often without seamless connectivity. In daily clinical practice, this leads to fragmented workflows, manual intermediate steps, and increased coordination effort. Integrated OR systems address exactly this issue by bringing devices, data, and processes together within a unified structure. How this impacts everyday OR practice is outlined in the following article.</t>
        </is>
      </c>
      <c r="D168" t="inlineStr" s="2">
        <is>
          <t xml:space="preserve">Im OP kommen heute zahlreiche Geräte, Systeme und Datenquellen zusammen – oft ohne durchgängige Verbindung. Im klinischen Alltag führt das zu fragmentierten Abläufen, manuellen Zwischenschritten und zusätzlichem Koordinationsaufwand. Integrierte OP-Systeme setzen genau hier an und führen Geräte, Daten und Prozesse in einer gemeinsamen Struktur zusammen. Wie sich das konkret im OP-Alltag auswirkt, zeigt der folgende Beitrag.</t>
        </is>
      </c>
      <c r="E168" t="inlineStr" s="0">
        <is>
          <t xml:space="preserve">Medium</t>
        </is>
      </c>
      <c r="F168" s="4"/>
      <c r="G168" t="inlineStr" s="2">
        <is>
          <t xml:space="preserve">Auch die Dokumentation verändert sich: Wo zuvor noch ressourcenintensives Datenhandling an der Tagesordnung war, werden im digitalisierten OP Patientendaten sowie Bild- und Videodaten automatisch gespeichert und stehen revisionssicher zur Verfügung. Die Notwendigkeit manueller Dateneingaben wird deutlich reduziert, wodurch administrative Aufwände sinken und Fehlerquellen minimiert werden. Zusätzlich können sicherheitsrelevante Elemente wie Checklisten systemseitig integriert und während des gesamten Eingriffs verfügbar gehalten werden.</t>
        </is>
      </c>
      <c r="H168" t="inlineStr" s="2">
        <is>
          <t xml:space="preserve">Operateur*innen können vordefinierte Setups für unterschiedliche Eingriffe aufrufen und Bild- sowie Videoquellen flexibel den jeweiligen Monitoren zuweisen. Dadurch lässt sich der OP schnell an verschiedene Anforderungen anpassen, während gleichzeitig ergonomische Arbeitsbedingungen und eine durchgängige Sicht auf relevante Informationen unterstützt werden. Besonders relevant ist das beispielsweise in der Endoskopie, da Operateur*innen nun ohne ständige Kopfbewegungen operieren können. Auch Umgebungsparameter wie Temperatur, Beleuchtung und Musik können einfach und unkompliziert verändert werden.</t>
        </is>
      </c>
      <c r="I168" t="inlineStr" s="2">
        <is>
          <t xml:space="preserve">Praxisbeispiele zeigen, dass integrierte OP-Systeme direkte Auswirkungen auf Arbeitsabläufe haben können. Nach der Einführung eines integrierten Systems berichteten Kliniken über eine Reduktion manueller Tätigkeiten sowie eine Entlastung des Personals im OP-Alltag. Zudem konnten Vorbereitungs- und Nachbereitungszeiten im OP reduziert werden, in einem Fall um bis zu 25 %. Gleichzeitig verbesserte sich die Übersicht im OP, und die zentrale Datenhaltung erhöhte die Nachvollziehbarkeit und reduzierte Risiken im Ablauf. [1]</t>
        </is>
      </c>
      <c r="J168" s="4"/>
      <c r="K168" s="2"/>
      <c r="L168" t="str" s="3">
        <f>HYPERLINK("https://www.getinge.com/de/news-und-events/neuigkeiten/gesundheitswesen/integrierter-op/","/news-und-events/neuigkeiten/gesundheitswesen/integrierter-op/")</f>
        <v>/news-und-events/neuigkeiten/gesundheitswesen/integrierter-op/</v>
      </c>
    </row>
    <row r="169">
      <c r="A169" s="0">
        <v>168</v>
      </c>
      <c r="B169" t="str" s="3">
        <f>HYPERLINK("https://www.getinge.com/int/insights/updates/healthcare/integrated-operating-room/","/insights/updates/healthcare/integrated-operating-room/")</f>
        <v>/insights/updates/healthcare/integrated-operating-room/</v>
      </c>
      <c r="C169" t="inlineStr" s="2">
        <is>
          <t xml:space="preserve">Isolated solutions reinforce fragmentation in the OR</t>
        </is>
      </c>
      <c r="D169" t="inlineStr" s="2">
        <is>
          <t xml:space="preserve">Insellösungen verstärken Fragmentierung im OP</t>
        </is>
      </c>
      <c r="E169" t="inlineStr" s="0">
        <is>
          <t xml:space="preserve">Medium</t>
        </is>
      </c>
      <c r="F169" s="4"/>
      <c r="G169" t="inlineStr" s="2">
        <is>
          <t xml:space="preserve">Daten und Dokumentation im selben System</t>
        </is>
      </c>
      <c r="H169" t="inlineStr" s="2">
        <is>
          <t xml:space="preserve">Aus der Praxis: Was sich verändert</t>
        </is>
      </c>
      <c r="I169" t="inlineStr" s="2">
        <is>
          <t xml:space="preserve">Was sind integrierte OP-Systeme?</t>
        </is>
      </c>
      <c r="J169" s="4"/>
      <c r="K169" s="2"/>
      <c r="L169" t="str" s="3">
        <f>HYPERLINK("https://www.getinge.com/de/news-und-events/neuigkeiten/gesundheitswesen/integrierter-op/","/news-und-events/neuigkeiten/gesundheitswesen/integrierter-op/")</f>
        <v>/news-und-events/neuigkeiten/gesundheitswesen/integrierter-op/</v>
      </c>
    </row>
    <row r="170">
      <c r="A170" s="0">
        <v>169</v>
      </c>
      <c r="B170" t="str" s="3">
        <f>HYPERLINK("https://www.getinge.com/int/insights/updates/healthcare/integrated-operating-room/","/insights/updates/healthcare/integrated-operating-room/")</f>
        <v>/insights/updates/healthcare/integrated-operating-room/</v>
      </c>
      <c r="C170" t="inlineStr" s="2">
        <is>
          <t xml:space="preserve">The highly technologized operating room not only offers new possibilities but also introduces new challenges. An increasing number of medical devices, growing data volumes, and additional documentation requirements are adding complexity to daily OR workflows.</t>
        </is>
      </c>
      <c r="D170" t="inlineStr" s="2">
        <is>
          <t xml:space="preserve">Der hochtechnologisierte Operationssaal bringt heute nicht nur neue Möglichkeiten, sondern auch neue Herausforderungen mit sich. Eine steigende Anzahl medizinischer Geräte, wachsende Datenvolumina und zusätzliche Anforderungen an Dokumentation erhöhen die Komplexität im OP-Alltag.</t>
        </is>
      </c>
      <c r="E170" t="inlineStr" s="0">
        <is>
          <t xml:space="preserve">Medium</t>
        </is>
      </c>
      <c r="F170" s="4"/>
      <c r="G170" t="inlineStr" s="2">
        <is>
          <t xml:space="preserve">Integrierte OP-Systeme verändern nicht einzelne Aspekte im Operationssaal, sondern die Art und Weise, wie der OP als Gesamtsystem funktioniert. Statt einer Vielzahl einzelner Geräte und Insellösungen entsteht eine strukturierte Umgebung, in der Geräte, Daten und Abläufe aufeinander abgestimmt sind.</t>
        </is>
      </c>
      <c r="H170" t="inlineStr" s="2">
        <is>
          <t xml:space="preserve">Integrierte OP-Systeme (auch als OP-Integration oder digitaler OP bezeichnet) sind Plattformen, die Geräte, Daten und Bildquellen im Operationssaal zentral verbinden und über eine gemeinsame Benutzeroberfläche nutzbar machen. Das Ziel: die zentrale Verwaltung und Koordination der OP-Infrastruktur.</t>
        </is>
      </c>
      <c r="I170" t="inlineStr" s="2">
        <is>
          <t xml:space="preserve">Für das OP-Team bedeutet das: Informationen stehen dort zur Verfügung, wo sie benötigt werden, und können gemeinsam bewertet werden – ohne zusätzliche Zwischenschritte oder Medienbrüche. Das unterstützt eine schnellere Abstimmung und verbessert die Zusammenarbeit im klinischen Alltag.</t>
        </is>
      </c>
      <c r="J170" s="4"/>
      <c r="K170" s="2"/>
      <c r="L170" t="str" s="3">
        <f>HYPERLINK("https://www.getinge.com/de/news-und-events/neuigkeiten/gesundheitswesen/integrierter-op/","/news-und-events/neuigkeiten/gesundheitswesen/integrierter-op/")</f>
        <v>/news-und-events/neuigkeiten/gesundheitswesen/integrierter-op/</v>
      </c>
    </row>
    <row r="171">
      <c r="A171" s="0">
        <v>170</v>
      </c>
      <c r="B171" t="str" s="3">
        <f>HYPERLINK("https://www.getinge.com/int/insights/updates/healthcare/integrated-operating-room/","/insights/updates/healthcare/integrated-operating-room/")</f>
        <v>/insights/updates/healthcare/integrated-operating-room/</v>
      </c>
      <c r="C171" t="inlineStr" s="2">
        <is>
          <t xml:space="preserve">Many processes are still organized around individual devices – from setup before surgery to post-processing of data. At the same time, each technology uses its own interfaces or systems for data display. Information is distributed across different formats, and interoperability is lacking. As a result, it becomes increasingly difficult to maintain an overview and quickly access relevant data.</t>
        </is>
      </c>
      <c r="D171" s="2"/>
      <c r="F171" s="4"/>
      <c r="G171" t="inlineStr" s="2">
        <is>
          <t xml:space="preserve">Im OP kommen heute zahlreiche Geräte, Systeme und Datenquellen zusammen – oft ohne durchgängige Verbindung. Im klinischen Alltag führt das zu fragmentierten Abläufen, manuellen Zwischenschritten und zusätzlichem Koordinationsaufwand. Integrierte OP-Systeme setzen genau hier an und führen Geräte, Daten und Prozesse in einer gemeinsamen Struktur zusammen. Wie sich das konkret im OP-Alltag auswirkt, zeigt der folgende Beitrag.</t>
        </is>
      </c>
      <c r="H171" t="inlineStr" s="2">
        <is>
          <t xml:space="preserve">Auch die Dokumentation verändert sich: Wo zuvor noch ressourcenintensives Datenhandling an der Tagesordnung war, werden im digitalisierten OP Patientendaten sowie Bild- und Videodaten automatisch gespeichert und stehen revisionssicher zur Verfügung. Die Notwendigkeit manueller Dateneingaben wird deutlich reduziert, wodurch administrative Aufwände sinken und Fehlerquellen minimiert werden. Zusätzlich können sicherheitsrelevante Elemente wie Checklisten systemseitig integriert und während des gesamten Eingriffs verfügbar gehalten werden.</t>
        </is>
      </c>
      <c r="I171" t="inlineStr" s="2">
        <is>
          <t xml:space="preserve">Operateur*innen können vordefinierte Setups für unterschiedliche Eingriffe aufrufen und Bild- sowie Videoquellen flexibel den jeweiligen Monitoren zuweisen. Dadurch lässt sich der OP schnell an verschiedene Anforderungen anpassen, während gleichzeitig ergonomische Arbeitsbedingungen und eine durchgängige Sicht auf relevante Informationen unterstützt werden. Besonders relevant ist das beispielsweise in der Endoskopie, da Operateur*innen nun ohne ständige Kopfbewegungen operieren können. Auch Umgebungsparameter wie Temperatur, Beleuchtung und Musik können einfach und unkompliziert verändert werden.</t>
        </is>
      </c>
      <c r="J171" s="4"/>
      <c r="K171" s="2"/>
      <c r="L171" t="str" s="3">
        <f>HYPERLINK("https://www.getinge.com/de/news-und-events/neuigkeiten/gesundheitswesen/integrierter-op/","/news-und-events/neuigkeiten/gesundheitswesen/integrierter-op/")</f>
        <v>/news-und-events/neuigkeiten/gesundheitswesen/integrierter-op/</v>
      </c>
    </row>
    <row r="172">
      <c r="A172" s="0">
        <v>171</v>
      </c>
      <c r="B172" t="str" s="3">
        <f>HYPERLINK("https://www.getinge.com/int/insights/updates/healthcare/integrated-operating-room/","/insights/updates/healthcare/integrated-operating-room/")</f>
        <v>/insights/updates/healthcare/integrated-operating-room/</v>
      </c>
      <c r="C172" t="inlineStr" s="2">
        <is>
          <t xml:space="preserve">At the same time, manual steps – for example during device setup or data handling – require additional resources and make it harder to maintain full focus on the procedure. Integrated OR systems address this by bringing these isolated solutions together into a unified structure.</t>
        </is>
      </c>
      <c r="D172" s="2"/>
      <c r="F172" s="4"/>
      <c r="G172" t="inlineStr" s="2">
        <is>
          <t xml:space="preserve">Integrierte OP-Systeme verändern nicht einzelne Aspekte im Operationssaal, sondern die Art und Weise, wie der OP als Gesamtsystem funktioniert. Statt einer Vielzahl einzelner Geräte und Insellösungen entsteht eine strukturierte Umgebung, in der Geräte, Daten und Abläufe aufeinander abgestimmt sind.</t>
        </is>
      </c>
      <c r="H172" t="inlineStr" s="2">
        <is>
          <t xml:space="preserve">Integrierte OP-Systeme (auch als OP-Integration oder digitaler OP bezeichnet) sind Plattformen, die Geräte, Daten und Bildquellen im Operationssaal zentral verbinden und über eine gemeinsame Benutzeroberfläche nutzbar machen. Das Ziel: die zentrale Verwaltung und Koordination der OP-Infrastruktur.</t>
        </is>
      </c>
      <c r="I172" t="inlineStr" s="2">
        <is>
          <t xml:space="preserve">Die Kommunikation im OP beschränkt sich nicht mehr auf den Raum selbst. Integrierte OP-Systeme ermöglichen es, Bild- und Videodaten in Echtzeit zu übertragen und für unterschiedliche Anwendungsfälle verfügbar zu machen – etwa für Abstimmungen zwischen OP-Räumen, interdisziplinäre Zusammenarbeit oder externe Konsultationen.</t>
        </is>
      </c>
      <c r="J172" s="4"/>
      <c r="K172" s="2"/>
      <c r="L172" t="str" s="3">
        <f>HYPERLINK("https://www.getinge.com/de/news-und-events/neuigkeiten/gesundheitswesen/integrierter-op/","/news-und-events/neuigkeiten/gesundheitswesen/integrierter-op/")</f>
        <v>/news-und-events/neuigkeiten/gesundheitswesen/integrierter-op/</v>
      </c>
    </row>
    <row r="173">
      <c r="A173" s="0">
        <v>172</v>
      </c>
      <c r="B173" t="str" s="3">
        <f>HYPERLINK("https://www.getinge.com/int/insights/updates/healthcare/integrated-operating-room/","/insights/updates/healthcare/integrated-operating-room/")</f>
        <v>/insights/updates/healthcare/integrated-operating-room/</v>
      </c>
      <c r="C173" t="inlineStr" s="2">
        <is>
          <t xml:space="preserve">What are integrated OR systems?</t>
        </is>
      </c>
      <c r="D173" t="inlineStr" s="2">
        <is>
          <t xml:space="preserve">Was sind integrierte OP-Systeme?</t>
        </is>
      </c>
      <c r="E173" t="inlineStr" s="0">
        <is>
          <t xml:space="preserve">High</t>
        </is>
      </c>
      <c r="F173" s="4"/>
      <c r="G173" t="inlineStr" s="2">
        <is>
          <t xml:space="preserve">Daten und Dokumentation im selben System</t>
        </is>
      </c>
      <c r="H173" t="inlineStr" s="2">
        <is>
          <t xml:space="preserve">Aus der Praxis: Was sich verändert</t>
        </is>
      </c>
      <c r="I173" t="inlineStr" s="2">
        <is>
          <t xml:space="preserve">Mehr Fokus, weniger Ablenkung</t>
        </is>
      </c>
      <c r="J173" s="4"/>
      <c r="K173" s="2"/>
      <c r="L173" t="str" s="3">
        <f>HYPERLINK("https://www.getinge.com/de/news-und-events/neuigkeiten/gesundheitswesen/integrierter-op/","/news-und-events/neuigkeiten/gesundheitswesen/integrierter-op/")</f>
        <v>/news-und-events/neuigkeiten/gesundheitswesen/integrierter-op/</v>
      </c>
    </row>
    <row r="174">
      <c r="A174" s="0">
        <v>173</v>
      </c>
      <c r="B174" t="str" s="3">
        <f>HYPERLINK("https://www.getinge.com/int/insights/updates/healthcare/integrated-operating-room/","/insights/updates/healthcare/integrated-operating-room/")</f>
        <v>/insights/updates/healthcare/integrated-operating-room/</v>
      </c>
      <c r="C174" t="inlineStr" s="2">
        <is>
          <t xml:space="preserve">Integrated OR systems (also referred to as OR integration or digital OR) are platforms that centrally connect devices, data, and imaging sources in the operating room and make them accessible via a shared user interface. The goal is centralized management and coordination of the OR infrastructure.</t>
        </is>
      </c>
      <c r="D174" t="inlineStr" s="2">
        <is>
          <t xml:space="preserve">Integrierte OP-Systeme (auch als OP-Integration oder digitaler OP bezeichnet) sind Plattformen, die Geräte, Daten und Bildquellen im Operationssaal zentral verbinden und über eine gemeinsame Benutzeroberfläche nutzbar machen. Das Ziel: die zentrale Verwaltung und Koordination der OP-Infrastruktur.</t>
        </is>
      </c>
      <c r="E174" t="inlineStr" s="0">
        <is>
          <t xml:space="preserve">Medium</t>
        </is>
      </c>
      <c r="F174" s="4"/>
      <c r="G174" t="inlineStr" s="2">
        <is>
          <t xml:space="preserve">Integrierte OP-Systeme verändern nicht einzelne Aspekte im Operationssaal, sondern die Art und Weise, wie der OP als Gesamtsystem funktioniert. Statt einer Vielzahl einzelner Geräte und Insellösungen entsteht eine strukturierte Umgebung, in der Geräte, Daten und Abläufe aufeinander abgestimmt sind.</t>
        </is>
      </c>
      <c r="H174" t="inlineStr" s="2">
        <is>
          <t xml:space="preserve">Die Kommunikation im OP beschränkt sich nicht mehr auf den Raum selbst. Integrierte OP-Systeme ermöglichen es, Bild- und Videodaten in Echtzeit zu übertragen und für unterschiedliche Anwendungsfälle verfügbar zu machen – etwa für Abstimmungen zwischen OP-Räumen, interdisziplinäre Zusammenarbeit oder externe Konsultationen.</t>
        </is>
      </c>
      <c r="I174" t="inlineStr" s="2">
        <is>
          <t xml:space="preserve">Ein weiterer großer Vorteil ist die Reduktion gefährlicher Kabel durch standardisierte Anschlüsse und zentrale Geräteintegration. Weniger Kabel und Geräte im Raum tragen zu einer sichereren und strukturierteren Arbeitsumgebung bei und können das Risiko von Infektionen und arbeitsbedingten Verletzungen reduzieren.</t>
        </is>
      </c>
      <c r="J174" s="4"/>
      <c r="K174" s="2"/>
      <c r="L174" t="str" s="3">
        <f>HYPERLINK("https://www.getinge.com/de/news-und-events/neuigkeiten/gesundheitswesen/integrierter-op/","/news-und-events/neuigkeiten/gesundheitswesen/integrierter-op/")</f>
        <v>/news-und-events/neuigkeiten/gesundheitswesen/integrierter-op/</v>
      </c>
    </row>
    <row r="175">
      <c r="A175" s="0">
        <v>174</v>
      </c>
      <c r="B175" t="str" s="3">
        <f>HYPERLINK("https://www.getinge.com/int/insights/updates/healthcare/integrated-operating-room/","/insights/updates/healthcare/integrated-operating-room/")</f>
        <v>/insights/updates/healthcare/integrated-operating-room/</v>
      </c>
      <c r="C175" t="inlineStr" s="2">
        <is>
          <t xml:space="preserve">Modern systems combine video routing, communication, data management, and device control in a single interface, enabling more efficient use of the OR. Medical staff can conveniently operate the system via touch displays.</t>
        </is>
      </c>
      <c r="D175" t="inlineStr" s="2">
        <is>
          <t xml:space="preserve">Moderne Systeme bündeln Video-Routing, Kommunikation, Daten- und Gerätemanagement in einer einheitlichen Benutzeroberfläche und ermöglichen eine effizientere Nutzung des OP. Das medizinische Fachpersonal kann das System bequem über Touchdisplays bedienen.</t>
        </is>
      </c>
      <c r="E175" t="inlineStr" s="0">
        <is>
          <t xml:space="preserve">Medium</t>
        </is>
      </c>
      <c r="F175" s="4"/>
      <c r="G175" t="inlineStr" s="2">
        <is>
          <t xml:space="preserve">Ein Beispiel für ein integriertes OP-System ist Tegris, das Video-Routing, Kommunikation, Daten- und Gerätemanagement in einer einheitlichen Benutzeroberfläche zusammenführt und es dem OP-Personal ermöglicht, Geräte, Daten und Bildquellen zentral und einfach zu bedienen.</t>
        </is>
      </c>
      <c r="H175" t="inlineStr" s="2">
        <is>
          <t xml:space="preserve">Integrierte OP-Systeme (auch als OP-Integration oder digitaler OP bezeichnet) sind Plattformen, die Geräte, Daten und Bildquellen im Operationssaal zentral verbinden und über eine gemeinsame Benutzeroberfläche nutzbar machen. Das Ziel: die zentrale Verwaltung und Koordination der OP-Infrastruktur.</t>
        </is>
      </c>
      <c r="I175" t="inlineStr" s="2">
        <is>
          <t xml:space="preserve">Das reduziert Reibung im Alltag, verbessert die Übersicht und unterstützt konsistente Abläufe – von der Vorbereitung bis zur Nachbereitung eines Eingriffs. Der OP wird damit weniger durch einzelne Technologien bestimmt, sondern durch das Zusammenspiel eines integrierten Systems.</t>
        </is>
      </c>
      <c r="J175" s="4"/>
      <c r="K175" s="2"/>
      <c r="L175" t="str" s="3">
        <f>HYPERLINK("https://www.getinge.com/de/news-und-events/neuigkeiten/gesundheitswesen/integrierter-op/","/news-und-events/neuigkeiten/gesundheitswesen/integrierter-op/")</f>
        <v>/news-und-events/neuigkeiten/gesundheitswesen/integrierter-op/</v>
      </c>
    </row>
    <row r="176">
      <c r="A176" s="0">
        <v>175</v>
      </c>
      <c r="B176" t="str" s="3">
        <f>HYPERLINK("https://www.getinge.com/int/insights/updates/healthcare/integrated-operating-room/","/insights/updates/healthcare/integrated-operating-room/")</f>
        <v>/insights/updates/healthcare/integrated-operating-room/</v>
      </c>
      <c r="C176" t="inlineStr" s="2">
        <is>
          <t xml:space="preserve">Integration also includes the ergonomic positioning of monitors and devices within the room, ensuring that relevant information is available within the direct field of view and that workflows are not interrupted by unnecessary movement or repositioning.</t>
        </is>
      </c>
      <c r="D176" t="inlineStr" s="2">
        <is>
          <t xml:space="preserve">Zur Integration gehört auch die ergonomische Anordnung von Monitoren und Geräten im Raum mit dem Ziel, relevante Informationen im direkten Sichtfeld verfügbar zu haben und Arbeitsabläufe nicht durch Umwege oder Positionswechsel zu unterbrechen.</t>
        </is>
      </c>
      <c r="E176" t="inlineStr" s="0">
        <is>
          <t xml:space="preserve">Medium</t>
        </is>
      </c>
      <c r="F176" s="4"/>
      <c r="G176" t="inlineStr" s="2">
        <is>
          <t xml:space="preserve">Ein Beispiel für ein integriertes OP-System ist Tegris, das Video-Routing, Kommunikation, Daten- und Gerätemanagement in einer einheitlichen Benutzeroberfläche zusammenführt und es dem OP-Personal ermöglicht, Geräte, Daten und Bildquellen zentral und einfach zu bedienen.</t>
        </is>
      </c>
      <c r="H176" t="inlineStr" s="2">
        <is>
          <t xml:space="preserve">Für das OP-Team bedeutet das: Informationen stehen dort zur Verfügung, wo sie benötigt werden, und können gemeinsam bewertet werden – ohne zusätzliche Zwischenschritte oder Medienbrüche. Das unterstützt eine schnellere Abstimmung und verbessert die Zusammenarbeit im klinischen Alltag.</t>
        </is>
      </c>
      <c r="I176" t="inlineStr" s="2">
        <is>
          <t xml:space="preserve">Das reduziert Reibung im Alltag, verbessert die Übersicht und unterstützt konsistente Abläufe – von der Vorbereitung bis zur Nachbereitung eines Eingriffs. Der OP wird damit weniger durch einzelne Technologien bestimmt, sondern durch das Zusammenspiel eines integrierten Systems.</t>
        </is>
      </c>
      <c r="J176" s="4"/>
      <c r="K176" s="2"/>
      <c r="L176" t="str" s="3">
        <f>HYPERLINK("https://www.getinge.com/de/news-und-events/neuigkeiten/gesundheitswesen/integrierter-op/","/news-und-events/neuigkeiten/gesundheitswesen/integrierter-op/")</f>
        <v>/news-und-events/neuigkeiten/gesundheitswesen/integrierter-op/</v>
      </c>
    </row>
    <row r="177">
      <c r="A177" s="0">
        <v>176</v>
      </c>
      <c r="B177" t="str" s="3">
        <f>HYPERLINK("https://www.getinge.com/int/insights/updates/healthcare/integrated-operating-room/","/insights/updates/healthcare/integrated-operating-room/")</f>
        <v>/insights/updates/healthcare/integrated-operating-room/</v>
      </c>
      <c r="C177" t="inlineStr" s="2">
        <is>
          <t xml:space="preserve">This shifts the perspective from individual devices to the overall workflow – from preparation to post-procedure.</t>
        </is>
      </c>
      <c r="D177" s="2"/>
      <c r="F177" s="4"/>
      <c r="G177" t="inlineStr" s="2">
        <is>
          <t xml:space="preserve">Die zentrale Bedienung entlastet das OP-Personal und schafft mehr Fokus für den Eingriff und die Patient*innen.</t>
        </is>
      </c>
      <c r="H177" t="inlineStr" s="2">
        <is>
          <t xml:space="preserve">Damit verschiebt sich der Blick vom einzelnen Gerät hin zum gesamten Ablauf – von der Vorbereitung bis zur Nachbereitung eines Eingriffs.</t>
        </is>
      </c>
      <c r="I177" s="2"/>
      <c r="J177" s="4"/>
      <c r="K177" s="2"/>
      <c r="L177" t="str" s="3">
        <f>HYPERLINK("https://www.getinge.com/de/news-und-events/neuigkeiten/gesundheitswesen/integrierter-op/","/news-und-events/neuigkeiten/gesundheitswesen/integrierter-op/")</f>
        <v>/news-und-events/neuigkeiten/gesundheitswesen/integrierter-op/</v>
      </c>
    </row>
    <row r="178">
      <c r="A178" s="0">
        <v>177</v>
      </c>
      <c r="B178" t="str" s="3">
        <f>HYPERLINK("https://www.getinge.com/int/insights/updates/healthcare/integrated-operating-room/","/insights/updates/healthcare/integrated-operating-room/")</f>
        <v>/insights/updates/healthcare/integrated-operating-room/</v>
      </c>
      <c r="C178" t="inlineStr" s="2">
        <is>
          <t xml:space="preserve">More focus, less distraction</t>
        </is>
      </c>
      <c r="D178" t="inlineStr" s="2">
        <is>
          <t xml:space="preserve">Mehr Fokus, weniger Ablenkung</t>
        </is>
      </c>
      <c r="E178" t="inlineStr" s="0">
        <is>
          <t xml:space="preserve">Medium</t>
        </is>
      </c>
      <c r="F178" s="4"/>
      <c r="G178" t="inlineStr" s="2">
        <is>
          <t xml:space="preserve">Was sind integrierte OP-Systeme?</t>
        </is>
      </c>
      <c r="H178" t="inlineStr" s="2">
        <is>
          <t xml:space="preserve">Aus der Praxis: Was sich verändert</t>
        </is>
      </c>
      <c r="I178" t="inlineStr" s="2">
        <is>
          <t xml:space="preserve">Daten und Dokumentation im selben System</t>
        </is>
      </c>
      <c r="J178" s="4"/>
      <c r="K178" s="2"/>
      <c r="L178" t="str" s="3">
        <f>HYPERLINK("https://www.getinge.com/de/news-und-events/neuigkeiten/gesundheitswesen/integrierter-op/","/news-und-events/neuigkeiten/gesundheitswesen/integrierter-op/")</f>
        <v>/news-und-events/neuigkeiten/gesundheitswesen/integrierter-op/</v>
      </c>
    </row>
    <row r="179">
      <c r="A179" s="0">
        <v>178</v>
      </c>
      <c r="B179" t="str" s="3">
        <f>HYPERLINK("https://www.getinge.com/int/insights/updates/healthcare/integrated-operating-room/","/insights/updates/healthcare/integrated-operating-room/")</f>
        <v>/insights/updates/healthcare/integrated-operating-room/</v>
      </c>
      <c r="C179" t="inlineStr" s="2">
        <is>
          <t xml:space="preserve">In a digital OR, all devices such as endoscopes, microscopes, or room cameras are integrated, and all data sources are consolidated on a main monitor. High-resolution imaging up to 4K UHD enables improved visualization during procedures and provides information on satellite monitors wherever it is needed.</t>
        </is>
      </c>
      <c r="D179" t="inlineStr" s="2">
        <is>
          <t xml:space="preserve">Im digitalisierten OP sind alle Geräte wie Endoskope, Mikroskope oder Raumkameras eingebunden und alle Datenquellen werden auf einem Hauptmonitor zusammengeführt. Hochauflösende Bilddarstellung bis zu 4K-UHD ermöglicht eine verbesserte Visualisierung während des Eingriffs und stellt Informationen auch auf Satellitenmonitoren bereit, also dort, wo sie benötigt werden.</t>
        </is>
      </c>
      <c r="E179" t="inlineStr" s="0">
        <is>
          <t xml:space="preserve">High</t>
        </is>
      </c>
      <c r="F179" s="4"/>
      <c r="G179" t="inlineStr" s="2">
        <is>
          <t xml:space="preserve">Integrierte OP-Systeme sind in das Krankenhausinformationssystem eingebunden und nutzen Standards wie DICOM und HL7, um Daten aus unterschiedlichen Quellen zusammenzuführen und zentral verfügbar zu machen. Wo zuvor viel Zeit für die Suche aufgewendet werden musste, können Daten nun schnell und einfach abgerufen werden, auch außerhalb des OPs.</t>
        </is>
      </c>
      <c r="H179" t="inlineStr" s="2">
        <is>
          <t xml:space="preserve">Die Kommunikation im OP beschränkt sich nicht mehr auf den Raum selbst. Integrierte OP-Systeme ermöglichen es, Bild- und Videodaten in Echtzeit zu übertragen und für unterschiedliche Anwendungsfälle verfügbar zu machen – etwa für Abstimmungen zwischen OP-Räumen, interdisziplinäre Zusammenarbeit oder externe Konsultationen.</t>
        </is>
      </c>
      <c r="I179" t="inlineStr" s="2">
        <is>
          <t xml:space="preserve">Integrierte OP-Systeme (auch als OP-Integration oder digitaler OP bezeichnet) sind Plattformen, die Geräte, Daten und Bildquellen im Operationssaal zentral verbinden und über eine gemeinsame Benutzeroberfläche nutzbar machen. Das Ziel: die zentrale Verwaltung und Koordination der OP-Infrastruktur.</t>
        </is>
      </c>
      <c r="J179" s="4"/>
      <c r="K179" s="2"/>
      <c r="L179" t="str" s="3">
        <f>HYPERLINK("https://www.getinge.com/de/news-und-events/neuigkeiten/gesundheitswesen/integrierter-op/","/news-und-events/neuigkeiten/gesundheitswesen/integrierter-op/")</f>
        <v>/news-und-events/neuigkeiten/gesundheitswesen/integrierter-op/</v>
      </c>
    </row>
    <row r="180">
      <c r="A180" s="0">
        <v>179</v>
      </c>
      <c r="B180" t="str" s="3">
        <f>HYPERLINK("https://www.getinge.com/int/insights/updates/healthcare/integrated-operating-room/","/insights/updates/healthcare/integrated-operating-room/")</f>
        <v>/insights/updates/healthcare/integrated-operating-room/</v>
      </c>
      <c r="C180" t="inlineStr" s="2">
        <is>
          <t xml:space="preserve">Surgeons can call up predefined setups for different procedures and flexibly assign image and video sources to specific monitors. This allows the OR to be quickly adapted to different requirements while supporting ergonomic working conditions and continuous visibility of relevant information.</t>
        </is>
      </c>
      <c r="D180" s="2"/>
      <c r="F180" s="4"/>
      <c r="G180" t="inlineStr" s="2">
        <is>
          <t xml:space="preserve">Die Kommunikation im OP beschränkt sich nicht mehr auf den Raum selbst. Integrierte OP-Systeme ermöglichen es, Bild- und Videodaten in Echtzeit zu übertragen und für unterschiedliche Anwendungsfälle verfügbar zu machen – etwa für Abstimmungen zwischen OP-Räumen, interdisziplinäre Zusammenarbeit oder externe Konsultationen.</t>
        </is>
      </c>
      <c r="H180" t="inlineStr" s="2">
        <is>
          <t xml:space="preserve">Ein weiterer großer Vorteil ist die Reduktion gefährlicher Kabel durch standardisierte Anschlüsse und zentrale Geräteintegration. Weniger Kabel und Geräte im Raum tragen zu einer sichereren und strukturierteren Arbeitsumgebung bei und können das Risiko von Infektionen und arbeitsbedingten Verletzungen reduzieren.</t>
        </is>
      </c>
      <c r="I180" t="inlineStr" s="2">
        <is>
          <t xml:space="preserve">Integrierte OP-Systeme verändern nicht einzelne Aspekte im Operationssaal, sondern die Art und Weise, wie der OP als Gesamtsystem funktioniert. Statt einer Vielzahl einzelner Geräte und Insellösungen entsteht eine strukturierte Umgebung, in der Geräte, Daten und Abläufe aufeinander abgestimmt sind.</t>
        </is>
      </c>
      <c r="J180" s="4"/>
      <c r="K180" s="2"/>
      <c r="L180" t="str" s="3">
        <f>HYPERLINK("https://www.getinge.com/de/news-und-events/neuigkeiten/gesundheitswesen/integrierter-op/","/news-und-events/neuigkeiten/gesundheitswesen/integrierter-op/")</f>
        <v>/news-und-events/neuigkeiten/gesundheitswesen/integrierter-op/</v>
      </c>
    </row>
    <row r="181">
      <c r="A181" s="0">
        <v>180</v>
      </c>
      <c r="B181" t="str" s="3">
        <f>HYPERLINK("https://www.getinge.com/int/insights/updates/healthcare/integrated-operating-room/","/insights/updates/healthcare/integrated-operating-room/")</f>
        <v>/insights/updates/healthcare/integrated-operating-room/</v>
      </c>
      <c r="C181" t="inlineStr" s="2">
        <is>
          <t xml:space="preserve">This is particularly relevant in endoscopy, where surgeons can operate without constant head movement. Environmental parameters such as temperature, lighting, and music can also be easily adjusted.</t>
        </is>
      </c>
      <c r="D181" s="2"/>
      <c r="F181" s="4"/>
      <c r="G181" t="inlineStr" s="2">
        <is>
          <t xml:space="preserve">Zur Integration gehört auch die ergonomische Anordnung von Monitoren und Geräten im Raum mit dem Ziel, relevante Informationen im direkten Sichtfeld verfügbar zu haben und Arbeitsabläufe nicht durch Umwege oder Positionswechsel zu unterbrechen.</t>
        </is>
      </c>
      <c r="H181" t="inlineStr" s="2">
        <is>
          <t xml:space="preserve">So können Live-Bilder aus dem Eingriff in andere Bereiche des Krankenhauses oder an externe Standorte übertragen werden. Gleichzeitig ermöglichen bidirektionale Verbindungen eine direkte Kommunikation zwischen OPs oder mit externen Expert*innen.</t>
        </is>
      </c>
      <c r="I181" t="inlineStr" s="2">
        <is>
          <t xml:space="preserve">Moderne Systeme bündeln Video-Routing, Kommunikation, Daten- und Gerätemanagement in einer einheitlichen Benutzeroberfläche und ermöglichen eine effizientere Nutzung des OP. Das medizinische Fachpersonal kann das System bequem über Touchdisplays bedienen.</t>
        </is>
      </c>
      <c r="J181" s="4"/>
      <c r="K181" s="2"/>
      <c r="L181" t="str" s="3">
        <f>HYPERLINK("https://www.getinge.com/de/news-und-events/neuigkeiten/gesundheitswesen/integrierter-op/","/news-und-events/neuigkeiten/gesundheitswesen/integrierter-op/")</f>
        <v>/news-und-events/neuigkeiten/gesundheitswesen/integrierter-op/</v>
      </c>
    </row>
    <row r="182">
      <c r="A182" s="0">
        <v>181</v>
      </c>
      <c r="B182" t="str" s="3">
        <f>HYPERLINK("https://www.getinge.com/int/insights/updates/healthcare/integrated-operating-room/","/insights/updates/healthcare/integrated-operating-room/")</f>
        <v>/insights/updates/healthcare/integrated-operating-room/</v>
      </c>
      <c r="C182" t="inlineStr" s="2">
        <is>
          <t xml:space="preserve">Another major advantage is the reduction of hazardous cables through standardized connections and centralized device integration. Fewer cables and devices contribute to a safer and more structured working environment and can reduce the risk of infections and work-related injuries.</t>
        </is>
      </c>
      <c r="D182" t="inlineStr" s="2">
        <is>
          <t xml:space="preserve">Ein weiterer großer Vorteil ist die Reduktion gefährlicher Kabel durch standardisierte Anschlüsse und zentrale Geräteintegration. Weniger Kabel und Geräte im Raum tragen zu einer sichereren und strukturierteren Arbeitsumgebung bei und können das Risiko von Infektionen und arbeitsbedingten Verletzungen reduzieren.</t>
        </is>
      </c>
      <c r="E182" t="inlineStr" s="0">
        <is>
          <t xml:space="preserve">Medium</t>
        </is>
      </c>
      <c r="F182" s="4"/>
      <c r="G182" t="inlineStr" s="2">
        <is>
          <t xml:space="preserve">Integrierte OP-Systeme (auch als OP-Integration oder digitaler OP bezeichnet) sind Plattformen, die Geräte, Daten und Bildquellen im Operationssaal zentral verbinden und über eine gemeinsame Benutzeroberfläche nutzbar machen. Das Ziel: die zentrale Verwaltung und Koordination der OP-Infrastruktur.</t>
        </is>
      </c>
      <c r="H182" t="inlineStr" s="2">
        <is>
          <t xml:space="preserve">Integrierte OP-Systeme verändern nicht einzelne Aspekte im Operationssaal, sondern die Art und Weise, wie der OP als Gesamtsystem funktioniert. Statt einer Vielzahl einzelner Geräte und Insellösungen entsteht eine strukturierte Umgebung, in der Geräte, Daten und Abläufe aufeinander abgestimmt sind.</t>
        </is>
      </c>
      <c r="I182" t="inlineStr" s="2">
        <is>
          <t xml:space="preserve">Die Kommunikation im OP beschränkt sich nicht mehr auf den Raum selbst. Integrierte OP-Systeme ermöglichen es, Bild- und Videodaten in Echtzeit zu übertragen und für unterschiedliche Anwendungsfälle verfügbar zu machen – etwa für Abstimmungen zwischen OP-Räumen, interdisziplinäre Zusammenarbeit oder externe Konsultationen.</t>
        </is>
      </c>
      <c r="J182" s="4"/>
      <c r="K182" s="2"/>
      <c r="L182" t="str" s="3">
        <f>HYPERLINK("https://www.getinge.com/de/news-und-events/neuigkeiten/gesundheitswesen/integrierter-op/","/news-und-events/neuigkeiten/gesundheitswesen/integrierter-op/")</f>
        <v>/news-und-events/neuigkeiten/gesundheitswesen/integrierter-op/</v>
      </c>
    </row>
    <row r="183">
      <c r="A183" s="0">
        <v>182</v>
      </c>
      <c r="B183" t="str" s="3">
        <f>HYPERLINK("https://www.getinge.com/int/insights/updates/healthcare/integrated-operating-room/","/insights/updates/healthcare/integrated-operating-room/")</f>
        <v>/insights/updates/healthcare/integrated-operating-room/</v>
      </c>
      <c r="C183" t="inlineStr" s="2">
        <is>
          <t xml:space="preserve">Centralized control reduces the workload for OR staff and enables greater focus on the procedure and the patient.</t>
        </is>
      </c>
      <c r="D183" t="inlineStr" s="2">
        <is>
          <t xml:space="preserve">Die zentrale Bedienung entlastet das OP-Personal und schafft mehr Fokus für den Eingriff und die Patient*innen.</t>
        </is>
      </c>
      <c r="E183" t="inlineStr" s="0">
        <is>
          <t xml:space="preserve">Medium</t>
        </is>
      </c>
      <c r="F183" s="4"/>
      <c r="G183" t="inlineStr" s="2">
        <is>
          <t xml:space="preserve">Damit verschiebt sich der Blick vom einzelnen Gerät hin zum gesamten Ablauf – von der Vorbereitung bis zur Nachbereitung eines Eingriffs.</t>
        </is>
      </c>
      <c r="H183" t="inlineStr" s="2">
        <is>
          <t xml:space="preserve">Ein weiterer großer Vorteil ist die Reduktion gefährlicher Kabel durch standardisierte Anschlüsse und zentrale Geräteintegration. Weniger Kabel und Geräte im Raum tragen zu einer sichereren und strukturierteren Arbeitsumgebung bei und können das Risiko von Infektionen und arbeitsbedingten Verletzungen reduzieren.</t>
        </is>
      </c>
      <c r="I183" s="2"/>
      <c r="J183" s="4"/>
      <c r="K183" s="2"/>
      <c r="L183" t="str" s="3">
        <f>HYPERLINK("https://www.getinge.com/de/news-und-events/neuigkeiten/gesundheitswesen/integrierter-op/","/news-und-events/neuigkeiten/gesundheitswesen/integrierter-op/")</f>
        <v>/news-und-events/neuigkeiten/gesundheitswesen/integrierter-op/</v>
      </c>
    </row>
    <row r="184">
      <c r="A184" s="0">
        <v>183</v>
      </c>
      <c r="B184" t="str" s="3">
        <f>HYPERLINK("https://www.getinge.com/int/insights/updates/healthcare/integrated-operating-room/","/insights/updates/healthcare/integrated-operating-room/")</f>
        <v>/insights/updates/healthcare/integrated-operating-room/</v>
      </c>
      <c r="C184" t="inlineStr" s="2">
        <is>
          <t xml:space="preserve">Data and documentation within the same system</t>
        </is>
      </c>
      <c r="D184" t="inlineStr" s="2">
        <is>
          <t xml:space="preserve">Daten und Dokumentation im selben System</t>
        </is>
      </c>
      <c r="E184" t="inlineStr" s="0">
        <is>
          <t xml:space="preserve">Medium</t>
        </is>
      </c>
      <c r="F184" s="4"/>
      <c r="G184" t="inlineStr" s="2">
        <is>
          <t xml:space="preserve">Was sind integrierte OP-Systeme?</t>
        </is>
      </c>
      <c r="H184" t="inlineStr" s="2">
        <is>
          <t xml:space="preserve">Insellösungen verstärken Fragmentierung im OP</t>
        </is>
      </c>
      <c r="I184" t="inlineStr" s="2">
        <is>
          <t xml:space="preserve">Aus der Praxis: Was sich verändert</t>
        </is>
      </c>
      <c r="J184" s="4"/>
      <c r="K184" s="2"/>
      <c r="L184" t="str" s="3">
        <f>HYPERLINK("https://www.getinge.com/de/news-und-events/neuigkeiten/gesundheitswesen/integrierter-op/","/news-und-events/neuigkeiten/gesundheitswesen/integrierter-op/")</f>
        <v>/news-und-events/neuigkeiten/gesundheitswesen/integrierter-op/</v>
      </c>
    </row>
    <row r="185">
      <c r="A185" s="0">
        <v>184</v>
      </c>
      <c r="B185" t="str" s="3">
        <f>HYPERLINK("https://www.getinge.com/int/insights/updates/healthcare/integrated-operating-room/","/insights/updates/healthcare/integrated-operating-room/")</f>
        <v>/insights/updates/healthcare/integrated-operating-room/</v>
      </c>
      <c r="C185" t="inlineStr" s="2">
        <is>
          <t xml:space="preserve">Integrated OR systems are connected to the hospital information system and use standards such as DICOM and HL7 to consolidate data from different sources and make it centrally available. Where time was previously spent searching for information, data can now be accessed quickly and easily – even outside the OR.</t>
        </is>
      </c>
      <c r="D185" t="inlineStr" s="2">
        <is>
          <t xml:space="preserve">Integrierte OP-Systeme sind in das Krankenhausinformationssystem eingebunden und nutzen Standards wie DICOM und HL7, um Daten aus unterschiedlichen Quellen zusammenzuführen und zentral verfügbar zu machen. Wo zuvor viel Zeit für die Suche aufgewendet werden musste, können Daten nun schnell und einfach abgerufen werden, auch außerhalb des OPs.</t>
        </is>
      </c>
      <c r="E185" t="inlineStr" s="0">
        <is>
          <t xml:space="preserve">High</t>
        </is>
      </c>
      <c r="F185" s="4"/>
      <c r="G185" t="inlineStr" s="2">
        <is>
          <t xml:space="preserve">Die Kommunikation im OP beschränkt sich nicht mehr auf den Raum selbst. Integrierte OP-Systeme ermöglichen es, Bild- und Videodaten in Echtzeit zu übertragen und für unterschiedliche Anwendungsfälle verfügbar zu machen – etwa für Abstimmungen zwischen OP-Räumen, interdisziplinäre Zusammenarbeit oder externe Konsultationen.</t>
        </is>
      </c>
      <c r="H185" t="inlineStr" s="2">
        <is>
          <t xml:space="preserve">Ein weiterer großer Vorteil ist die Reduktion gefährlicher Kabel durch standardisierte Anschlüsse und zentrale Geräteintegration. Weniger Kabel und Geräte im Raum tragen zu einer sichereren und strukturierteren Arbeitsumgebung bei und können das Risiko von Infektionen und arbeitsbedingten Verletzungen reduzieren.</t>
        </is>
      </c>
      <c r="I185" t="inlineStr" s="2">
        <is>
          <t xml:space="preserve">Integrierte OP-Systeme (auch als OP-Integration oder digitaler OP bezeichnet) sind Plattformen, die Geräte, Daten und Bildquellen im Operationssaal zentral verbinden und über eine gemeinsame Benutzeroberfläche nutzbar machen. Das Ziel: die zentrale Verwaltung und Koordination der OP-Infrastruktur.</t>
        </is>
      </c>
      <c r="J185" s="4"/>
      <c r="K185" s="2"/>
      <c r="L185" t="str" s="3">
        <f>HYPERLINK("https://www.getinge.com/de/news-und-events/neuigkeiten/gesundheitswesen/integrierter-op/","/news-und-events/neuigkeiten/gesundheitswesen/integrierter-op/")</f>
        <v>/news-und-events/neuigkeiten/gesundheitswesen/integrierter-op/</v>
      </c>
    </row>
    <row r="186">
      <c r="A186" s="0">
        <v>185</v>
      </c>
      <c r="B186" t="str" s="3">
        <f>HYPERLINK("https://www.getinge.com/int/insights/updates/healthcare/integrated-operating-room/","/insights/updates/healthcare/integrated-operating-room/")</f>
        <v>/insights/updates/healthcare/integrated-operating-room/</v>
      </c>
      <c r="C186" t="inlineStr" s="2">
        <is>
          <t xml:space="preserve">Documentation also changes: instead of resource-intensive manual data handling, patient data as well as image and video data are automatically stored in the digital OR and are audit-proof. The need for manual data entry is significantly reduced, lowering administrative workload and minimizing sources of error.</t>
        </is>
      </c>
      <c r="D186" s="2"/>
      <c r="F186" s="4"/>
      <c r="G186" t="inlineStr" s="2">
        <is>
          <t xml:space="preserve">Die Kommunikation im OP beschränkt sich nicht mehr auf den Raum selbst. Integrierte OP-Systeme ermöglichen es, Bild- und Videodaten in Echtzeit zu übertragen und für unterschiedliche Anwendungsfälle verfügbar zu machen – etwa für Abstimmungen zwischen OP-Räumen, interdisziplinäre Zusammenarbeit oder externe Konsultationen.</t>
        </is>
      </c>
      <c r="H186" t="inlineStr" s="2">
        <is>
          <t xml:space="preserve">Ein weiterer großer Vorteil ist die Reduktion gefährlicher Kabel durch standardisierte Anschlüsse und zentrale Geräteintegration. Weniger Kabel und Geräte im Raum tragen zu einer sichereren und strukturierteren Arbeitsumgebung bei und können das Risiko von Infektionen und arbeitsbedingten Verletzungen reduzieren.</t>
        </is>
      </c>
      <c r="I186" t="inlineStr" s="2">
        <is>
          <t xml:space="preserve">Integrierte OP-Systeme (auch als OP-Integration oder digitaler OP bezeichnet) sind Plattformen, die Geräte, Daten und Bildquellen im Operationssaal zentral verbinden und über eine gemeinsame Benutzeroberfläche nutzbar machen. Das Ziel: die zentrale Verwaltung und Koordination der OP-Infrastruktur.</t>
        </is>
      </c>
      <c r="J186" s="4"/>
      <c r="K186" s="2"/>
      <c r="L186" t="str" s="3">
        <f>HYPERLINK("https://www.getinge.com/de/news-und-events/neuigkeiten/gesundheitswesen/integrierter-op/","/news-und-events/neuigkeiten/gesundheitswesen/integrierter-op/")</f>
        <v>/news-und-events/neuigkeiten/gesundheitswesen/integrierter-op/</v>
      </c>
    </row>
    <row r="187">
      <c r="A187" s="0">
        <v>186</v>
      </c>
      <c r="B187" t="str" s="3">
        <f>HYPERLINK("https://www.getinge.com/int/insights/updates/healthcare/integrated-operating-room/","/insights/updates/healthcare/integrated-operating-room/")</f>
        <v>/insights/updates/healthcare/integrated-operating-room/</v>
      </c>
      <c r="C187" t="inlineStr" s="2">
        <is>
          <t xml:space="preserve">In addition, safety-related elements such as checklists can be integrated into the system and made available throughout the entire procedure.</t>
        </is>
      </c>
      <c r="D187" s="2"/>
      <c r="F187" s="4"/>
      <c r="G187" t="inlineStr" s="2">
        <is>
          <t xml:space="preserve">Damit verschiebt sich der Blick vom einzelnen Gerät hin zum gesamten Ablauf – von der Vorbereitung bis zur Nachbereitung eines Eingriffs.</t>
        </is>
      </c>
      <c r="H187" t="inlineStr" s="2">
        <is>
          <t xml:space="preserve">Die zentrale Bedienung entlastet das OP-Personal und schafft mehr Fokus für den Eingriff und die Patient*innen.</t>
        </is>
      </c>
      <c r="I187" t="inlineStr" s="2">
        <is>
          <t xml:space="preserve">Zur Integration gehört auch die ergonomische Anordnung von Monitoren und Geräten im Raum mit dem Ziel, relevante Informationen im direkten Sichtfeld verfügbar zu haben und Arbeitsabläufe nicht durch Umwege oder Positionswechsel zu unterbrechen.</t>
        </is>
      </c>
      <c r="J187" s="4"/>
      <c r="K187" s="2"/>
      <c r="L187" t="str" s="3">
        <f>HYPERLINK("https://www.getinge.com/de/news-und-events/neuigkeiten/gesundheitswesen/integrierter-op/","/news-und-events/neuigkeiten/gesundheitswesen/integrierter-op/")</f>
        <v>/news-und-events/neuigkeiten/gesundheitswesen/integrierter-op/</v>
      </c>
    </row>
    <row r="188">
      <c r="A188" s="0">
        <v>187</v>
      </c>
      <c r="B188" t="str" s="3">
        <f>HYPERLINK("https://www.getinge.com/int/insights/updates/healthcare/integrated-operating-room/","/insights/updates/healthcare/integrated-operating-room/")</f>
        <v>/insights/updates/healthcare/integrated-operating-room/</v>
      </c>
      <c r="C188" t="inlineStr" s="2">
        <is>
          <t xml:space="preserve">Improved communication</t>
        </is>
      </c>
      <c r="D188" t="inlineStr" s="2">
        <is>
          <t xml:space="preserve">Besser kommunizieren</t>
        </is>
      </c>
      <c r="E188" t="inlineStr" s="0">
        <is>
          <t xml:space="preserve">Medium</t>
        </is>
      </c>
      <c r="F188" s="4"/>
      <c r="G188" t="inlineStr" s="2">
        <is>
          <t xml:space="preserve">Mehr Fokus, weniger Ablenkung</t>
        </is>
      </c>
      <c r="H188" t="inlineStr" s="2">
        <is>
          <t xml:space="preserve">Was sind integrierte OP-Systeme?</t>
        </is>
      </c>
      <c r="I188" t="inlineStr" s="2">
        <is>
          <t xml:space="preserve">Aus der Praxis: Was sich verändert</t>
        </is>
      </c>
      <c r="J188" s="4"/>
      <c r="K188" s="2"/>
      <c r="L188" t="str" s="3">
        <f>HYPERLINK("https://www.getinge.com/de/news-und-events/neuigkeiten/gesundheitswesen/integrierter-op/","/news-und-events/neuigkeiten/gesundheitswesen/integrierter-op/")</f>
        <v>/news-und-events/neuigkeiten/gesundheitswesen/integrierter-op/</v>
      </c>
    </row>
    <row r="189">
      <c r="A189" s="0">
        <v>188</v>
      </c>
      <c r="B189" t="str" s="3">
        <f>HYPERLINK("https://www.getinge.com/int/insights/updates/healthcare/integrated-operating-room/","/insights/updates/healthcare/integrated-operating-room/")</f>
        <v>/insights/updates/healthcare/integrated-operating-room/</v>
      </c>
      <c r="C189" t="inlineStr" s="2">
        <is>
          <t xml:space="preserve">Communication in the OR is no longer limited to the room itself. Integrated OR systems enable real-time transmission of image and video data and make them available for various use cases – such as coordination between ORs, interdisciplinary collaboration, or external consultations.</t>
        </is>
      </c>
      <c r="D189" t="inlineStr" s="2">
        <is>
          <t xml:space="preserve">Die Kommunikation im OP beschränkt sich nicht mehr auf den Raum selbst. Integrierte OP-Systeme ermöglichen es, Bild- und Videodaten in Echtzeit zu übertragen und für unterschiedliche Anwendungsfälle verfügbar zu machen – etwa für Abstimmungen zwischen OP-Räumen, interdisziplinäre Zusammenarbeit oder externe Konsultationen.</t>
        </is>
      </c>
      <c r="E189" t="inlineStr" s="0">
        <is>
          <t xml:space="preserve">Medium</t>
        </is>
      </c>
      <c r="F189" s="4"/>
      <c r="G189" t="inlineStr" s="2">
        <is>
          <t xml:space="preserve">Ein Beispiel für ein integriertes OP-System ist Tegris, das Video-Routing, Kommunikation, Daten- und Gerätemanagement in einer einheitlichen Benutzeroberfläche zusammenführt und es dem OP-Personal ermöglicht, Geräte, Daten und Bildquellen zentral und einfach zu bedienen.</t>
        </is>
      </c>
      <c r="H189" t="inlineStr" s="2">
        <is>
          <t xml:space="preserve">Integrierte OP-Systeme (auch als OP-Integration oder digitaler OP bezeichnet) sind Plattformen, die Geräte, Daten und Bildquellen im Operationssaal zentral verbinden und über eine gemeinsame Benutzeroberfläche nutzbar machen. Das Ziel: die zentrale Verwaltung und Koordination der OP-Infrastruktur.</t>
        </is>
      </c>
      <c r="I189" t="inlineStr" s="2">
        <is>
          <t xml:space="preserve">Das reduziert Reibung im Alltag, verbessert die Übersicht und unterstützt konsistente Abläufe – von der Vorbereitung bis zur Nachbereitung eines Eingriffs. Der OP wird damit weniger durch einzelne Technologien bestimmt, sondern durch das Zusammenspiel eines integrierten Systems.</t>
        </is>
      </c>
      <c r="J189" s="4"/>
      <c r="K189" s="2"/>
      <c r="L189" t="str" s="3">
        <f>HYPERLINK("https://www.getinge.com/de/news-und-events/neuigkeiten/gesundheitswesen/integrierter-op/","/news-und-events/neuigkeiten/gesundheitswesen/integrierter-op/")</f>
        <v>/news-und-events/neuigkeiten/gesundheitswesen/integrierter-op/</v>
      </c>
    </row>
    <row r="190">
      <c r="A190" s="0">
        <v>189</v>
      </c>
      <c r="B190" t="str" s="3">
        <f>HYPERLINK("https://www.getinge.com/int/insights/updates/healthcare/integrated-operating-room/","/insights/updates/healthcare/integrated-operating-room/")</f>
        <v>/insights/updates/healthcare/integrated-operating-room/</v>
      </c>
      <c r="C190" t="inlineStr" s="2">
        <is>
          <t xml:space="preserve">Live images from procedures can be transmitted to other areas of the hospital or external locations. At the same time, bidirectional connections enable direct communication between ORs or with external experts.</t>
        </is>
      </c>
      <c r="D190" t="inlineStr" s="2">
        <is>
          <t xml:space="preserve">So können Live-Bilder aus dem Eingriff in andere Bereiche des Krankenhauses oder an externe Standorte übertragen werden. Gleichzeitig ermöglichen bidirektionale Verbindungen eine direkte Kommunikation zwischen OPs oder mit externen Expert*innen.</t>
        </is>
      </c>
      <c r="E190" t="inlineStr" s="0">
        <is>
          <t xml:space="preserve">Medium</t>
        </is>
      </c>
      <c r="F190" s="4"/>
      <c r="G190" t="inlineStr" s="2">
        <is>
          <t xml:space="preserve">Zur Integration gehört auch die ergonomische Anordnung von Monitoren und Geräten im Raum mit dem Ziel, relevante Informationen im direkten Sichtfeld verfügbar zu haben und Arbeitsabläufe nicht durch Umwege oder Positionswechsel zu unterbrechen.</t>
        </is>
      </c>
      <c r="H190" t="inlineStr" s="2">
        <is>
          <t xml:space="preserve">Moderne Systeme bündeln Video-Routing, Kommunikation, Daten- und Gerätemanagement in einer einheitlichen Benutzeroberfläche und ermöglichen eine effizientere Nutzung des OP. Das medizinische Fachpersonal kann das System bequem über Touchdisplays bedienen.</t>
        </is>
      </c>
      <c r="I190" t="inlineStr" s="2">
        <is>
          <t xml:space="preserve">Ein Beispiel für ein integriertes OP-System ist Tegris, das Video-Routing, Kommunikation, Daten- und Gerätemanagement in einer einheitlichen Benutzeroberfläche zusammenführt und es dem OP-Personal ermöglicht, Geräte, Daten und Bildquellen zentral und einfach zu bedienen.</t>
        </is>
      </c>
      <c r="J190" s="4"/>
      <c r="K190" s="2"/>
      <c r="L190" t="str" s="3">
        <f>HYPERLINK("https://www.getinge.com/de/news-und-events/neuigkeiten/gesundheitswesen/integrierter-op/","/news-und-events/neuigkeiten/gesundheitswesen/integrierter-op/")</f>
        <v>/news-und-events/neuigkeiten/gesundheitswesen/integrierter-op/</v>
      </c>
    </row>
    <row r="191">
      <c r="A191" s="0">
        <v>190</v>
      </c>
      <c r="B191" t="str" s="3">
        <f>HYPERLINK("https://www.getinge.com/int/insights/updates/healthcare/integrated-operating-room/","/insights/updates/healthcare/integrated-operating-room/")</f>
        <v>/insights/updates/healthcare/integrated-operating-room/</v>
      </c>
      <c r="C191" t="inlineStr" s="2">
        <is>
          <t xml:space="preserve">For the OR team, this means that information is available where it is needed and can be evaluated collaboratively – without additional steps or media disruptions. This supports faster coordination and improves collaboration in clinical practice.</t>
        </is>
      </c>
      <c r="D191" t="inlineStr" s="2">
        <is>
          <t xml:space="preserve">Für das OP-Team bedeutet das: Informationen stehen dort zur Verfügung, wo sie benötigt werden, und können gemeinsam bewertet werden – ohne zusätzliche Zwischenschritte oder Medienbrüche. Das unterstützt eine schnellere Abstimmung und verbessert die Zusammenarbeit im klinischen Alltag.</t>
        </is>
      </c>
      <c r="E191" t="inlineStr" s="0">
        <is>
          <t xml:space="preserve">Medium</t>
        </is>
      </c>
      <c r="F191" s="4"/>
      <c r="G191" t="inlineStr" s="2">
        <is>
          <t xml:space="preserve">Der hochtechnologisierte Operationssaal bringt heute nicht nur neue Möglichkeiten, sondern auch neue Herausforderungen mit sich. Eine steigende Anzahl medizinischer Geräte, wachsende Datenvolumina und zusätzliche Anforderungen an Dokumentation erhöhen die Komplexität im OP-Alltag.</t>
        </is>
      </c>
      <c r="H191" t="inlineStr" s="2">
        <is>
          <t xml:space="preserve">Integrierte OP-Systeme (auch als OP-Integration oder digitaler OP bezeichnet) sind Plattformen, die Geräte, Daten und Bildquellen im Operationssaal zentral verbinden und über eine gemeinsame Benutzeroberfläche nutzbar machen. Das Ziel: die zentrale Verwaltung und Koordination der OP-Infrastruktur.</t>
        </is>
      </c>
      <c r="I191" t="inlineStr" s="2">
        <is>
          <t xml:space="preserve">Moderne Systeme bündeln Video-Routing, Kommunikation, Daten- und Gerätemanagement in einer einheitlichen Benutzeroberfläche und ermöglichen eine effizientere Nutzung des OP. Das medizinische Fachpersonal kann das System bequem über Touchdisplays bedienen.</t>
        </is>
      </c>
      <c r="J191" s="4"/>
      <c r="K191" s="2"/>
      <c r="L191" t="str" s="3">
        <f>HYPERLINK("https://www.getinge.com/de/news-und-events/neuigkeiten/gesundheitswesen/integrierter-op/","/news-und-events/neuigkeiten/gesundheitswesen/integrierter-op/")</f>
        <v>/news-und-events/neuigkeiten/gesundheitswesen/integrierter-op/</v>
      </c>
    </row>
    <row r="192">
      <c r="A192" s="0">
        <v>191</v>
      </c>
      <c r="B192" t="str" s="3">
        <f>HYPERLINK("https://www.getinge.com/int/insights/updates/healthcare/integrated-operating-room/","/insights/updates/healthcare/integrated-operating-room/")</f>
        <v>/insights/updates/healthcare/integrated-operating-room/</v>
      </c>
      <c r="C192" t="inlineStr" s="2">
        <is>
          <t xml:space="preserve">From practice: What changes</t>
        </is>
      </c>
      <c r="D192" s="2"/>
      <c r="F192" s="4"/>
      <c r="G192" t="inlineStr" s="2">
        <is>
          <t xml:space="preserve">Was sind integrierte OP-Systeme?</t>
        </is>
      </c>
      <c r="H192" t="inlineStr" s="2">
        <is>
          <t xml:space="preserve">Aus der Praxis: Was sich verändert</t>
        </is>
      </c>
      <c r="I192" t="inlineStr" s="2">
        <is>
          <t xml:space="preserve">Mehr Fokus, weniger Ablenkung</t>
        </is>
      </c>
      <c r="J192" s="4"/>
      <c r="K192" s="2"/>
      <c r="L192" t="str" s="3">
        <f>HYPERLINK("https://www.getinge.com/de/news-und-events/neuigkeiten/gesundheitswesen/integrierter-op/","/news-und-events/neuigkeiten/gesundheitswesen/integrierter-op/")</f>
        <v>/news-und-events/neuigkeiten/gesundheitswesen/integrierter-op/</v>
      </c>
    </row>
    <row r="193">
      <c r="A193" s="0">
        <v>192</v>
      </c>
      <c r="B193" t="str" s="3">
        <f>HYPERLINK("https://www.getinge.com/int/insights/updates/healthcare/integrated-operating-room/","/insights/updates/healthcare/integrated-operating-room/")</f>
        <v>/insights/updates/healthcare/integrated-operating-room/</v>
      </c>
      <c r="C193" t="inlineStr" s="2">
        <is>
          <t xml:space="preserve">Practical examples show that integrated OR systems can have a direct impact on workflows. After implementing an integrated system, hospitals reported a reduction in manual tasks and relief for staff in daily OR operations. Preparation and post-processing times were also reduced – in one case by up to 25%. At the same time, visibility within the OR improved, and centralized data management increased traceability and reduced risks in workflows.[1]</t>
        </is>
      </c>
      <c r="D193" t="inlineStr" s="2">
        <is>
          <t xml:space="preserve">Praxisbeispiele zeigen, dass integrierte OP-Systeme direkte Auswirkungen auf Arbeitsabläufe haben können. Nach der Einführung eines integrierten Systems berichteten Kliniken über eine Reduktion manueller Tätigkeiten sowie eine Entlastung des Personals im OP-Alltag. Zudem konnten Vorbereitungs- und Nachbereitungszeiten im OP reduziert werden, in einem Fall um bis zu 25 %. Gleichzeitig verbesserte sich die Übersicht im OP, und die zentrale Datenhaltung erhöhte die Nachvollziehbarkeit und reduzierte Risiken im Ablauf. [1]</t>
        </is>
      </c>
      <c r="E193" t="inlineStr" s="0">
        <is>
          <t xml:space="preserve">Medium</t>
        </is>
      </c>
      <c r="F193" s="4"/>
      <c r="G193" t="inlineStr" s="2">
        <is>
          <t xml:space="preserve">Ein weiteres Krankenhaus berichtet, dass durch die Integration viele operative Einzeltätigkeiten im Alltag entfallen – etwa das Management von Kabeln, mehreren Bediengeräten oder das Zurücklegen von Wegen im OP. Gleichzeitig stehen Patientendaten direkt im System zur Verfügung, statt wie zuvor teilweise erst mit Verzögerung. Auch administrative Aufwände reduzierten sich spürbar – in der Praxis bis hin zum Wegfall von routinemäßigen Überstunden, sodass mehr Zeit für die Patientenversorgung bleibt.[2]</t>
        </is>
      </c>
      <c r="H193" t="inlineStr" s="2">
        <is>
          <t xml:space="preserve">Auch die Dokumentation verändert sich: Wo zuvor noch ressourcenintensives Datenhandling an der Tagesordnung war, werden im digitalisierten OP Patientendaten sowie Bild- und Videodaten automatisch gespeichert und stehen revisionssicher zur Verfügung. Die Notwendigkeit manueller Dateneingaben wird deutlich reduziert, wodurch administrative Aufwände sinken und Fehlerquellen minimiert werden. Zusätzlich können sicherheitsrelevante Elemente wie Checklisten systemseitig integriert und während des gesamten Eingriffs verfügbar gehalten werden.</t>
        </is>
      </c>
      <c r="I193" t="inlineStr" s="2">
        <is>
          <t xml:space="preserve">Im OP kommen heute zahlreiche Geräte, Systeme und Datenquellen zusammen – oft ohne durchgängige Verbindung. Im klinischen Alltag führt das zu fragmentierten Abläufen, manuellen Zwischenschritten und zusätzlichem Koordinationsaufwand. Integrierte OP-Systeme setzen genau hier an und führen Geräte, Daten und Prozesse in einer gemeinsamen Struktur zusammen. Wie sich das konkret im OP-Alltag auswirkt, zeigt der folgende Beitrag.</t>
        </is>
      </c>
      <c r="J193" s="4"/>
      <c r="K193" s="2"/>
      <c r="L193" t="str" s="3">
        <f>HYPERLINK("https://www.getinge.com/de/news-und-events/neuigkeiten/gesundheitswesen/integrierter-op/","/news-und-events/neuigkeiten/gesundheitswesen/integrierter-op/")</f>
        <v>/news-und-events/neuigkeiten/gesundheitswesen/integrierter-op/</v>
      </c>
    </row>
    <row r="194">
      <c r="A194" s="0">
        <v>193</v>
      </c>
      <c r="B194" t="str" s="3">
        <f>HYPERLINK("https://www.getinge.com/int/insights/updates/healthcare/integrated-operating-room/","/insights/updates/healthcare/integrated-operating-room/")</f>
        <v>/insights/updates/healthcare/integrated-operating-room/</v>
      </c>
      <c r="C194" t="inlineStr" s="2">
        <is>
          <t xml:space="preserve">Another hospital reported that many individual operational tasks were eliminated in daily practice – such as cable management, handling multiple control devices, or moving between different stations in the OR. Patient data is now directly available in the system instead of being delayed. Administrative workload was also noticeably reduced – in practice, even eliminating routine overtime, allowing more time for patient care.[2]</t>
        </is>
      </c>
      <c r="D194" t="inlineStr" s="2">
        <is>
          <t xml:space="preserve">Ein weiteres Krankenhaus berichtet, dass durch die Integration viele operative Einzeltätigkeiten im Alltag entfallen – etwa das Management von Kabeln, mehreren Bediengeräten oder das Zurücklegen von Wegen im OP. Gleichzeitig stehen Patientendaten direkt im System zur Verfügung, statt wie zuvor teilweise erst mit Verzögerung. Auch administrative Aufwände reduzierten sich spürbar – in der Praxis bis hin zum Wegfall von routinemäßigen Überstunden, sodass mehr Zeit für die Patientenversorgung bleibt.[2]</t>
        </is>
      </c>
      <c r="E194" t="inlineStr" s="0">
        <is>
          <t xml:space="preserve">High</t>
        </is>
      </c>
      <c r="F194" s="4"/>
      <c r="G194" t="inlineStr" s="2">
        <is>
          <t xml:space="preserve">Auch die Dokumentation verändert sich: Wo zuvor noch ressourcenintensives Datenhandling an der Tagesordnung war, werden im digitalisierten OP Patientendaten sowie Bild- und Videodaten automatisch gespeichert und stehen revisionssicher zur Verfügung. Die Notwendigkeit manueller Dateneingaben wird deutlich reduziert, wodurch administrative Aufwände sinken und Fehlerquellen minimiert werden. Zusätzlich können sicherheitsrelevante Elemente wie Checklisten systemseitig integriert und während des gesamten Eingriffs verfügbar gehalten werden.</t>
        </is>
      </c>
      <c r="H194" t="inlineStr" s="2">
        <is>
          <t xml:space="preserve">Praxisbeispiele zeigen, dass integrierte OP-Systeme direkte Auswirkungen auf Arbeitsabläufe haben können. Nach der Einführung eines integrierten Systems berichteten Kliniken über eine Reduktion manueller Tätigkeiten sowie eine Entlastung des Personals im OP-Alltag. Zudem konnten Vorbereitungs- und Nachbereitungszeiten im OP reduziert werden, in einem Fall um bis zu 25 %. Gleichzeitig verbesserte sich die Übersicht im OP, und die zentrale Datenhaltung erhöhte die Nachvollziehbarkeit und reduzierte Risiken im Ablauf. [1]</t>
        </is>
      </c>
      <c r="I194" t="inlineStr" s="2">
        <is>
          <t xml:space="preserve">Im OP kommen heute zahlreiche Geräte, Systeme und Datenquellen zusammen – oft ohne durchgängige Verbindung. Im klinischen Alltag führt das zu fragmentierten Abläufen, manuellen Zwischenschritten und zusätzlichem Koordinationsaufwand. Integrierte OP-Systeme setzen genau hier an und führen Geräte, Daten und Prozesse in einer gemeinsamen Struktur zusammen. Wie sich das konkret im OP-Alltag auswirkt, zeigt der folgende Beitrag.</t>
        </is>
      </c>
      <c r="J194" s="4"/>
      <c r="K194" s="2"/>
      <c r="L194" t="str" s="3">
        <f>HYPERLINK("https://www.getinge.com/de/news-und-events/neuigkeiten/gesundheitswesen/integrierter-op/","/news-und-events/neuigkeiten/gesundheitswesen/integrierter-op/")</f>
        <v>/news-und-events/neuigkeiten/gesundheitswesen/integrierter-op/</v>
      </c>
    </row>
    <row r="195">
      <c r="A195" s="0">
        <v>194</v>
      </c>
      <c r="B195" t="str" s="3">
        <f>HYPERLINK("https://www.getinge.com/int/insights/updates/healthcare/integrated-operating-room/","/insights/updates/healthcare/integrated-operating-room/")</f>
        <v>/insights/updates/healthcare/integrated-operating-room/</v>
      </c>
      <c r="C195" t="inlineStr" s="2">
        <is>
          <t xml:space="preserve">Integrated OR systems do not just change individual aspects of the operating room but fundamentally transform how the OR functions as a system. Instead of a collection of individual devices and isolated solutions, a structured environment is created in which devices, data, and workflows are aligned.</t>
        </is>
      </c>
      <c r="D195" t="inlineStr" s="2">
        <is>
          <t xml:space="preserve">Integrierte OP-Systeme verändern nicht einzelne Aspekte im Operationssaal, sondern die Art und Weise, wie der OP als Gesamtsystem funktioniert. Statt einer Vielzahl einzelner Geräte und Insellösungen entsteht eine strukturierte Umgebung, in der Geräte, Daten und Abläufe aufeinander abgestimmt sind.</t>
        </is>
      </c>
      <c r="E195" t="inlineStr" s="0">
        <is>
          <t xml:space="preserve">Medium</t>
        </is>
      </c>
      <c r="F195" s="4"/>
      <c r="G195" t="inlineStr" s="2">
        <is>
          <t xml:space="preserve">Integrierte OP-Systeme (auch als OP-Integration oder digitaler OP bezeichnet) sind Plattformen, die Geräte, Daten und Bildquellen im Operationssaal zentral verbinden und über eine gemeinsame Benutzeroberfläche nutzbar machen. Das Ziel: die zentrale Verwaltung und Koordination der OP-Infrastruktur.</t>
        </is>
      </c>
      <c r="H195" t="inlineStr" s="2">
        <is>
          <t xml:space="preserve">Die Kommunikation im OP beschränkt sich nicht mehr auf den Raum selbst. Integrierte OP-Systeme ermöglichen es, Bild- und Videodaten in Echtzeit zu übertragen und für unterschiedliche Anwendungsfälle verfügbar zu machen – etwa für Abstimmungen zwischen OP-Räumen, interdisziplinäre Zusammenarbeit oder externe Konsultationen.</t>
        </is>
      </c>
      <c r="I195" t="inlineStr" s="2">
        <is>
          <t xml:space="preserve">Ein weiterer großer Vorteil ist die Reduktion gefährlicher Kabel durch standardisierte Anschlüsse und zentrale Geräteintegration. Weniger Kabel und Geräte im Raum tragen zu einer sichereren und strukturierteren Arbeitsumgebung bei und können das Risiko von Infektionen und arbeitsbedingten Verletzungen reduzieren.</t>
        </is>
      </c>
      <c r="J195" s="4"/>
      <c r="K195" s="2"/>
      <c r="L195" t="str" s="3">
        <f>HYPERLINK("https://www.getinge.com/de/news-und-events/neuigkeiten/gesundheitswesen/integrierter-op/","/news-und-events/neuigkeiten/gesundheitswesen/integrierter-op/")</f>
        <v>/news-und-events/neuigkeiten/gesundheitswesen/integrierter-op/</v>
      </c>
    </row>
    <row r="196">
      <c r="A196" s="0">
        <v>195</v>
      </c>
      <c r="B196" t="str" s="3">
        <f>HYPERLINK("https://www.getinge.com/int/insights/updates/healthcare/integrated-operating-room/","/insights/updates/healthcare/integrated-operating-room/")</f>
        <v>/insights/updates/healthcare/integrated-operating-room/</v>
      </c>
      <c r="C196" t="inlineStr" s="2">
        <is>
          <t xml:space="preserve">This reduces friction in daily operations, improves transparency, and supports consistent workflows – from preparation to post-procedure. The OR is no longer defined by individual technologies but by the interaction within an integrated system.</t>
        </is>
      </c>
      <c r="D196" t="inlineStr" s="2">
        <is>
          <t xml:space="preserve">Das reduziert Reibung im Alltag, verbessert die Übersicht und unterstützt konsistente Abläufe – von der Vorbereitung bis zur Nachbereitung eines Eingriffs. Der OP wird damit weniger durch einzelne Technologien bestimmt, sondern durch das Zusammenspiel eines integrierten Systems.</t>
        </is>
      </c>
      <c r="E196" t="inlineStr" s="0">
        <is>
          <t xml:space="preserve">Medium</t>
        </is>
      </c>
      <c r="F196" s="4"/>
      <c r="G196" t="inlineStr" s="2">
        <is>
          <t xml:space="preserve">Integrierte OP-Systeme (auch als OP-Integration oder digitaler OP bezeichnet) sind Plattformen, die Geräte, Daten und Bildquellen im Operationssaal zentral verbinden und über eine gemeinsame Benutzeroberfläche nutzbar machen. Das Ziel: die zentrale Verwaltung und Koordination der OP-Infrastruktur.</t>
        </is>
      </c>
      <c r="H196" t="inlineStr" s="2">
        <is>
          <t xml:space="preserve">Integrierte OP-Systeme verändern nicht einzelne Aspekte im Operationssaal, sondern die Art und Weise, wie der OP als Gesamtsystem funktioniert. Statt einer Vielzahl einzelner Geräte und Insellösungen entsteht eine strukturierte Umgebung, in der Geräte, Daten und Abläufe aufeinander abgestimmt sind.</t>
        </is>
      </c>
      <c r="I196" t="inlineStr" s="2">
        <is>
          <t xml:space="preserve">Ein Beispiel für ein integriertes OP-System ist Tegris, das Video-Routing, Kommunikation, Daten- und Gerätemanagement in einer einheitlichen Benutzeroberfläche zusammenführt und es dem OP-Personal ermöglicht, Geräte, Daten und Bildquellen zentral und einfach zu bedienen.</t>
        </is>
      </c>
      <c r="J196" s="4"/>
      <c r="K196" s="2"/>
      <c r="L196" t="str" s="3">
        <f>HYPERLINK("https://www.getinge.com/de/news-und-events/neuigkeiten/gesundheitswesen/integrierter-op/","/news-und-events/neuigkeiten/gesundheitswesen/integrierter-op/")</f>
        <v>/news-und-events/neuigkeiten/gesundheitswesen/integrierter-op/</v>
      </c>
    </row>
    <row r="197">
      <c r="A197" s="0">
        <v>196</v>
      </c>
      <c r="B197" t="str" s="3">
        <f>HYPERLINK("https://www.getinge.com/int/insights/updates/healthcare/integrated-operating-room/","/insights/updates/healthcare/integrated-operating-room/")</f>
        <v>/insights/updates/healthcare/integrated-operating-room/</v>
      </c>
      <c r="C197" t="inlineStr" s="2">
        <is>
          <t xml:space="preserve">One example of an integrated OR system is Tegris, which combines video routing, communication, data, and device management into a unified interface, enabling OR staff to centrally and easily control devices, data, and imaging sources.</t>
        </is>
      </c>
      <c r="D197" t="inlineStr" s="2">
        <is>
          <t xml:space="preserve">Ein Beispiel für ein integriertes OP-System ist Tegris, das Video-Routing, Kommunikation, Daten- und Gerätemanagement in einer einheitlichen Benutzeroberfläche zusammenführt und es dem OP-Personal ermöglicht, Geräte, Daten und Bildquellen zentral und einfach zu bedienen.</t>
        </is>
      </c>
      <c r="E197" t="inlineStr" s="0">
        <is>
          <t xml:space="preserve">Medium</t>
        </is>
      </c>
      <c r="F197" s="4"/>
      <c r="G197" t="inlineStr" s="2">
        <is>
          <t xml:space="preserve">Moderne Systeme bündeln Video-Routing, Kommunikation, Daten- und Gerätemanagement in einer einheitlichen Benutzeroberfläche und ermöglichen eine effizientere Nutzung des OP. Das medizinische Fachpersonal kann das System bequem über Touchdisplays bedienen.</t>
        </is>
      </c>
      <c r="H197" t="inlineStr" s="2">
        <is>
          <t xml:space="preserve">Integrierte OP-Systeme (auch als OP-Integration oder digitaler OP bezeichnet) sind Plattformen, die Geräte, Daten und Bildquellen im Operationssaal zentral verbinden und über eine gemeinsame Benutzeroberfläche nutzbar machen. Das Ziel: die zentrale Verwaltung und Koordination der OP-Infrastruktur.</t>
        </is>
      </c>
      <c r="I197" t="inlineStr" s="2">
        <is>
          <t xml:space="preserve">Das reduziert Reibung im Alltag, verbessert die Übersicht und unterstützt konsistente Abläufe – von der Vorbereitung bis zur Nachbereitung eines Eingriffs. Der OP wird damit weniger durch einzelne Technologien bestimmt, sondern durch das Zusammenspiel eines integrierten Systems.</t>
        </is>
      </c>
      <c r="J197" s="4"/>
      <c r="K197" s="2"/>
      <c r="L197" t="str" s="3">
        <f>HYPERLINK("https://www.getinge.com/de/news-und-events/neuigkeiten/gesundheitswesen/integrierter-op/","/news-und-events/neuigkeiten/gesundheitswesen/integrierter-op/")</f>
        <v>/news-und-events/neuigkeiten/gesundheitswesen/integrierter-op/</v>
      </c>
    </row>
    <row r="198">
      <c r="A198" s="0">
        <v>197</v>
      </c>
      <c r="B198" t="str" s="3">
        <f>HYPERLINK("https://www.getinge.com/int/insights/updates/healthcare/low-temperature-sterilization-when-heat-is-not-an-option/","/insights/updates/healthcare/low-temperature-sterilization-when-heat-is-not-an-option/")</f>
        <v>/insights/updates/healthcare/low-temperature-sterilization-when-heat-is-not-an-option/</v>
      </c>
      <c r="C198" t="inlineStr" s="2">
        <is>
          <t xml:space="preserve">When heat is not an option</t>
        </is>
      </c>
      <c r="D198" t="inlineStr" s="2">
        <is>
          <t xml:space="preserve">Wenn Hitze keine Option ist</t>
        </is>
      </c>
      <c r="E198" t="inlineStr" s="0">
        <is>
          <t xml:space="preserve">Medium</t>
        </is>
      </c>
      <c r="F198" s="4"/>
      <c r="G198" t="inlineStr" s="2">
        <is>
          <t xml:space="preserve">Aktuelle Entwicklungen in der NTS</t>
        </is>
      </c>
      <c r="H198" t="inlineStr" s="2">
        <is>
          <t xml:space="preserve">4. Peressigsäure (PAA)</t>
        </is>
      </c>
      <c r="I198" t="inlineStr" s="2">
        <is>
          <t xml:space="preserve">Welche NTS-Methode ist die richtige für meine Einrichtung?</t>
        </is>
      </c>
      <c r="J198" s="4"/>
      <c r="K198" s="2"/>
      <c r="L198" t="str" s="3">
        <f>HYPERLINK("https://www.getinge.com/de/news-und-events/neuigkeiten/gesundheitswesen/niedertemperatur-sterilisation-wenn-hitze-keine-option-ist/","/news-und-events/neuigkeiten/gesundheitswesen/niedertemperatur-sterilisation-wenn-hitze-keine-option-ist/")</f>
        <v>/news-und-events/neuigkeiten/gesundheitswesen/niedertemperatur-sterilisation-wenn-hitze-keine-option-ist/</v>
      </c>
    </row>
    <row r="199">
      <c r="A199" s="0">
        <v>198</v>
      </c>
      <c r="B199" t="str" s="3">
        <f>HYPERLINK("https://www.getinge.com/int/insights/updates/healthcare/low-temperature-sterilization-when-heat-is-not-an-option/","/insights/updates/healthcare/low-temperature-sterilization-when-heat-is-not-an-option/")</f>
        <v>/insights/updates/healthcare/low-temperature-sterilization-when-heat-is-not-an-option/</v>
      </c>
      <c r="C199" t="inlineStr" s="2">
        <is>
          <t xml:space="preserve">Modern healthcare is defined by rapid and continuous technological advances, with increasingly complex systems and medical devices entering routine clinical use [1]. More invasive operations are performed globally – and with them, the risk of transmitting pathogenic microorganisms via contaminated equipment [3]. Device-associated hospital-acquired infections are linked to prolonged hospital stays, increased risk of sepsis, and higher mortality in intensive care units [14]. Sterilization of medical devices is therefore a cornerstone of hospital infection control.</t>
        </is>
      </c>
      <c r="D199" t="inlineStr" s="2">
        <is>
          <t xml:space="preserve">Die moderne Gesundheitsversorgung ist geprägt von schnellen und kontinuierlichen technologischen Fortschritten. Immer komplexere Systeme und Medizinprodukte werden im klinischen Alltag eingesetzt [1]. Gleichzeitig nimmt weltweit die Zahl invasiver Eingriffe zu – und damit auch das Risiko, pathogene Mikroorganismen über kontaminierte Instrumente zu übertragen [3]. Geräteassoziierte nosokomiale Infektionen gehen mit längeren Krankenhausaufenthalten, einem erhöhten Sepsisrisiko und einer höheren Mortalität auf Intensivstationen einher [14]. Die Sterilisation von Medizinprodukten ist daher ein zentraler Bestandteil der Infektionsprävention im Krankenhaus.</t>
        </is>
      </c>
      <c r="E199" t="inlineStr" s="0">
        <is>
          <t xml:space="preserve">High</t>
        </is>
      </c>
      <c r="F199" s="4"/>
      <c r="G199" t="inlineStr" s="2">
        <is>
          <t xml:space="preserve">Aktuelle Entwicklungen konzentrieren sich auf eine verbesserte Materialverträglichkeit, eine zuverlässigere Prozesskontrolle und eine reduzierte Umweltbelastung, unter anderem getrieben durch regulatorischen Druck zur Reduktion von Ethylenoxid [2],[12]. Dazu gehören weiterentwickelte VH₂O₂-Systeme mit kürzeren Zykluszeiten, verbesserter Leistung bei komplexen Lumina und geringeren Rückständen [15]. Neue Erkenntnisse zeigen, dass VH₂O₂-NTS die mechanischen Eigenschaften, Abmessungen und die Biokompatibilität ausgewählter 3D-gedruckter Materialien auch nach wiederholten Zyklen erhält [9]. Gleichzeitig gewinnt die Überwachung und Qualitätssicherung an Bedeutung, einschließlich biologischer Kontrollen für jede Beladung, um der steigenden Komplexität von Medizinprodukten gerecht zu werden [18].</t>
        </is>
      </c>
      <c r="H199" t="inlineStr" s="2">
        <is>
          <t xml:space="preserve">Das System Getinge Poladus 150 wurde kürzlich als VH2O2-NTS-System eingeführt, das bei Temperaturen bis zu 55 °C arbeitet und darauf ausgelegt ist, kurze Zykluszeiten und einen höheren Durchsatz in der Sterilgutaufbereitung zu unterstützen. Sein Prozessdesign sowie die Integration in digitale Workflows und Rückverfolgbarkeitssysteme spiegeln aktuelle Entwicklungen in der NTS wider, die auf höhere Effizienz, strengere Prozesskontrolle und eine stärkere Ausrichtung an regulatorischen Anforderungen abzielen.</t>
        </is>
      </c>
      <c r="I199" s="2"/>
      <c r="J199" s="4"/>
      <c r="K199" s="2"/>
      <c r="L199" t="str" s="3">
        <f>HYPERLINK("https://www.getinge.com/de/news-und-events/neuigkeiten/gesundheitswesen/niedertemperatur-sterilisation-wenn-hitze-keine-option-ist/","/news-und-events/neuigkeiten/gesundheitswesen/niedertemperatur-sterilisation-wenn-hitze-keine-option-ist/")</f>
        <v>/news-und-events/neuigkeiten/gesundheitswesen/niedertemperatur-sterilisation-wenn-hitze-keine-option-ist/</v>
      </c>
    </row>
    <row r="200">
      <c r="A200" s="0">
        <v>199</v>
      </c>
      <c r="B200" t="str" s="3">
        <f>HYPERLINK("https://www.getinge.com/int/insights/updates/healthcare/low-temperature-sterilization-when-heat-is-not-an-option/","/insights/updates/healthcare/low-temperature-sterilization-when-heat-is-not-an-option/")</f>
        <v>/insights/updates/healthcare/low-temperature-sterilization-when-heat-is-not-an-option/</v>
      </c>
      <c r="C200" t="inlineStr" s="2">
        <is>
          <t xml:space="preserve">At the same time, advances in biomaterial and device technology, increasing emphasis on sustainability, including reduced reliance on toxic agents such as ethylene oxide [6], together with stricter validation and regulatory compliance requirements [6],[11],[8], are reshaping how medical devices are reprocessed in clinical settings.</t>
        </is>
      </c>
      <c r="D200" t="inlineStr" s="2">
        <is>
          <t xml:space="preserve">Gleichzeitig verändern Fortschritte bei Biomaterialien und Medizintechnik, ein zunehmender Fokus auf Nachhaltigkeit – einschließlich der Reduktion toxischer Sterilisationsmittel wie Ethylenoxid [6] – sowie strengere Anforderungen an Validierung und regulatorische Konformität [6],[11],[8] die Aufbereitung von Medizinprodukten im klinischen Umfeld grundlegend.</t>
        </is>
      </c>
      <c r="E200" t="inlineStr" s="0">
        <is>
          <t xml:space="preserve">High</t>
        </is>
      </c>
      <c r="F200" s="4"/>
      <c r="G200" t="inlineStr" s="2">
        <is>
          <t xml:space="preserve">NTS arbeitet bei deutlich niedrigeren Temperaturen als die Dampfsterilisation (121–134 °C), typischerweise zwischen 37 °C und 60 °C. Dabei kommen chemische Sterilisationsmittel in gasförmiger oder flüssiger Form zum Einsatz, während die Temperatur des Medizinprodukts unter etwa 60 °C bleibt und gleichzeitig ein Sterilitätssicherheitsniveau (SAL) von 10⁻⁶ erreicht wird [2].</t>
        </is>
      </c>
      <c r="H200" t="inlineStr" s="2">
        <is>
          <t xml:space="preserve">Das heutige Instrumentarium umfasst zunehmend komplexe und empfindliche Geräte, die beispielsweise in minimalinvasiven oder robotergestützten Verfahren eingesetzt werden. Endoskope, Kameras, 3D-gedruckte Implantate, Ultraschallsonden oder elektronische Sensoren enthalten Polymere, Elastomere, Klebstoffe sowie elektronische und optische Komponenten und weisen komplexe Geometrien auf.</t>
        </is>
      </c>
      <c r="I200" t="inlineStr" s="2">
        <is>
          <t xml:space="preserve">Wenn Sie für die Aufbereitung empfindlicher, hitzeempfindlicher Medizinprodukte verantwortlich sind, stellt die Niedertemperatur-Sterilisation keine einzelne Lösung dar. Keine Methode ist zu 100 % optimal, jede hat spezifische Vor- und Nachteile [2]. Die Auswahl hängt von Gerätetyp, Materialverträglichkeit, Lumengeometrie, Durchsatzanforderungen, Arbeitssicherheit, Emissionsvorschriften und wirtschaftlichen Rahmenbedingungen ab.</t>
        </is>
      </c>
      <c r="J200" s="4"/>
      <c r="K200" s="2"/>
      <c r="L200" t="str" s="3">
        <f>HYPERLINK("https://www.getinge.com/de/news-und-events/neuigkeiten/gesundheitswesen/niedertemperatur-sterilisation-wenn-hitze-keine-option-ist/","/news-und-events/neuigkeiten/gesundheitswesen/niedertemperatur-sterilisation-wenn-hitze-keine-option-ist/")</f>
        <v>/news-und-events/neuigkeiten/gesundheitswesen/niedertemperatur-sterilisation-wenn-hitze-keine-option-ist/</v>
      </c>
    </row>
    <row r="201">
      <c r="A201" s="0">
        <v>200</v>
      </c>
      <c r="B201" t="str" s="3">
        <f>HYPERLINK("https://www.getinge.com/int/insights/updates/healthcare/low-temperature-sterilization-when-heat-is-not-an-option/","/insights/updates/healthcare/low-temperature-sterilization-when-heat-is-not-an-option/")</f>
        <v>/insights/updates/healthcare/low-temperature-sterilization-when-heat-is-not-an-option/</v>
      </c>
      <c r="C201" t="inlineStr" s="2">
        <is>
          <t xml:space="preserve">Why LTS matters for heat- and moisture-sensitive devices</t>
        </is>
      </c>
      <c r="D201" s="2"/>
      <c r="F201" s="4"/>
      <c r="G201" t="inlineStr" s="2">
        <is>
          <t xml:space="preserve">Welche NTS-Methode ist die richtige für meine Einrichtung?</t>
        </is>
      </c>
      <c r="H201" t="inlineStr" s="2">
        <is>
          <t xml:space="preserve">Warum Niedertemperatur-Sterilisation für hitze- und feuchtigkeitssensitive Produkte wichtig ist</t>
        </is>
      </c>
      <c r="I201" t="inlineStr" s="2">
        <is>
          <t xml:space="preserve">2. Niedertemperatur-Dampf und Formaldehyd (NTSF)</t>
        </is>
      </c>
      <c r="J201" s="4"/>
      <c r="K201" s="2"/>
      <c r="L201" t="str" s="3">
        <f>HYPERLINK("https://www.getinge.com/de/news-und-events/neuigkeiten/gesundheitswesen/niedertemperatur-sterilisation-wenn-hitze-keine-option-ist/","/news-und-events/neuigkeiten/gesundheitswesen/niedertemperatur-sterilisation-wenn-hitze-keine-option-ist/")</f>
        <v>/news-und-events/neuigkeiten/gesundheitswesen/niedertemperatur-sterilisation-wenn-hitze-keine-option-ist/</v>
      </c>
    </row>
    <row r="202">
      <c r="A202" s="0">
        <v>201</v>
      </c>
      <c r="B202" t="str" s="3">
        <f>HYPERLINK("https://www.getinge.com/int/insights/updates/healthcare/low-temperature-sterilization-when-heat-is-not-an-option/","/insights/updates/healthcare/low-temperature-sterilization-when-heat-is-not-an-option/")</f>
        <v>/insights/updates/healthcare/low-temperature-sterilization-when-heat-is-not-an-option/</v>
      </c>
      <c r="C202" t="inlineStr" s="2">
        <is>
          <t xml:space="preserve">Today’s surgical inventories increasingly include sophisticated, delicate instruments used in minimally invasive and robotic-assisted procedures. Endoscopes, cameras, 3D-printed implants, ultrasonic transducers, or electronic sensors contain polymers, elastomers, adhesives, electronic and optic components, and complex device geometries. These technologies are sensitive to high temperatures and moisture, and exposure to the heat and humidity -typical of conventional steam sterilization- can lead to material degradation, mechanical issues, or functional failure [1],[9],[2],[12].</t>
        </is>
      </c>
      <c r="D202" s="2"/>
      <c r="F202" s="4"/>
      <c r="G202" t="inlineStr" s="2">
        <is>
          <t xml:space="preserve">Die moderne Gesundheitsversorgung ist geprägt von schnellen und kontinuierlichen technologischen Fortschritten. Immer komplexere Systeme und Medizinprodukte werden im klinischen Alltag eingesetzt [1]. Gleichzeitig nimmt weltweit die Zahl invasiver Eingriffe zu – und damit auch das Risiko, pathogene Mikroorganismen über kontaminierte Instrumente zu übertragen [3]. Geräteassoziierte nosokomiale Infektionen gehen mit längeren Krankenhausaufenthalten, einem erhöhten Sepsisrisiko und einer höheren Mortalität auf Intensivstationen einher [14]. Die Sterilisation von Medizinprodukten ist daher ein zentraler Bestandteil der Infektionsprävention im Krankenhaus.</t>
        </is>
      </c>
      <c r="H202" t="inlineStr" s="2">
        <is>
          <t xml:space="preserve">Aktuelle Entwicklungen konzentrieren sich auf eine verbesserte Materialverträglichkeit, eine zuverlässigere Prozesskontrolle und eine reduzierte Umweltbelastung, unter anderem getrieben durch regulatorischen Druck zur Reduktion von Ethylenoxid [2],[12]. Dazu gehören weiterentwickelte VH₂O₂-Systeme mit kürzeren Zykluszeiten, verbesserter Leistung bei komplexen Lumina und geringeren Rückständen [15]. Neue Erkenntnisse zeigen, dass VH₂O₂-NTS die mechanischen Eigenschaften, Abmessungen und die Biokompatibilität ausgewählter 3D-gedruckter Materialien auch nach wiederholten Zyklen erhält [9]. Gleichzeitig gewinnt die Überwachung und Qualitätssicherung an Bedeutung, einschließlich biologischer Kontrollen für jede Beladung, um der steigenden Komplexität von Medizinprodukten gerecht zu werden [18].</t>
        </is>
      </c>
      <c r="I202" t="inlineStr" s="2">
        <is>
          <t xml:space="preserve">Das heutige Instrumentarium umfasst zunehmend komplexe und empfindliche Geräte, die beispielsweise in minimalinvasiven oder robotergestützten Verfahren eingesetzt werden. Endoskope, Kameras, 3D-gedruckte Implantate, Ultraschallsonden oder elektronische Sensoren enthalten Polymere, Elastomere, Klebstoffe sowie elektronische und optische Komponenten und weisen komplexe Geometrien auf.</t>
        </is>
      </c>
      <c r="J202" s="4"/>
      <c r="K202" s="2"/>
      <c r="L202" t="str" s="3">
        <f>HYPERLINK("https://www.getinge.com/de/news-und-events/neuigkeiten/gesundheitswesen/niedertemperatur-sterilisation-wenn-hitze-keine-option-ist/","/news-und-events/neuigkeiten/gesundheitswesen/niedertemperatur-sterilisation-wenn-hitze-keine-option-ist/")</f>
        <v>/news-und-events/neuigkeiten/gesundheitswesen/niedertemperatur-sterilisation-wenn-hitze-keine-option-ist/</v>
      </c>
    </row>
    <row r="203">
      <c r="A203" s="0">
        <v>202</v>
      </c>
      <c r="B203" t="str" s="3">
        <f>HYPERLINK("https://www.getinge.com/int/insights/updates/healthcare/low-temperature-sterilization-when-heat-is-not-an-option/","/insights/updates/healthcare/low-temperature-sterilization-when-heat-is-not-an-option/")</f>
        <v>/insights/updates/healthcare/low-temperature-sterilization-when-heat-is-not-an-option/</v>
      </c>
      <c r="C203" t="inlineStr" s="2">
        <is>
          <t xml:space="preserve">Low temperature sterilization (LTS) refers to a group of sterilization methods used to reprocess heat- and moisture-sensitive medical devices and is widely applied in Central Sterile Supply Departments (CSSDs).</t>
        </is>
      </c>
      <c r="D203" s="2"/>
      <c r="F203" s="4"/>
      <c r="G203" t="inlineStr" s="2">
        <is>
          <t xml:space="preserve">Die zunehmende Verwendung komplexer, hitze- und feuchtigkeitssensitiver Medizinprodukte schränkt die Anwendbarkeit der Dampfsterilisation ein und erhöht die Bedeutung der Niedertemperatur-Sterilisation (NTS).</t>
        </is>
      </c>
      <c r="H203" t="inlineStr" s="2">
        <is>
          <t xml:space="preserve">Weltweit kommen verschiedene Niedertemperatur-Sterilisationsverfahren zum Einsatz, die sich hinsichtlich Wirkmechanismus, Vorteile und Einschränkungen unterscheiden. Die wichtigsten Verfahren sind:</t>
        </is>
      </c>
      <c r="I203" t="inlineStr" s="2">
        <is>
          <t xml:space="preserve">Die Sterilisation von Medizinprodukten bleibt ein zentraler Bestandteil der Infektionsprävention im Krankenhaus, insbesondere da geräteassoziierte nosokomiale Infektionen weiterhin zu erhöhter Morbidität, längeren Krankenhausaufenthalten und erhöhter Mortalität auf Intensivstationen beitragen.</t>
        </is>
      </c>
      <c r="J203" s="4"/>
      <c r="K203" s="2"/>
      <c r="L203" t="str" s="3">
        <f>HYPERLINK("https://www.getinge.com/de/news-und-events/neuigkeiten/gesundheitswesen/niedertemperatur-sterilisation-wenn-hitze-keine-option-ist/","/news-und-events/neuigkeiten/gesundheitswesen/niedertemperatur-sterilisation-wenn-hitze-keine-option-ist/")</f>
        <v>/news-und-events/neuigkeiten/gesundheitswesen/niedertemperatur-sterilisation-wenn-hitze-keine-option-ist/</v>
      </c>
    </row>
    <row r="204">
      <c r="A204" s="0">
        <v>203</v>
      </c>
      <c r="B204" t="str" s="3">
        <f>HYPERLINK("https://www.getinge.com/int/insights/updates/healthcare/low-temperature-sterilization-when-heat-is-not-an-option/","/insights/updates/healthcare/low-temperature-sterilization-when-heat-is-not-an-option/")</f>
        <v>/insights/updates/healthcare/low-temperature-sterilization-when-heat-is-not-an-option/</v>
      </c>
      <c r="C204" t="inlineStr" s="2">
        <is>
          <t xml:space="preserve">LTS operates at temperatures well below those used in steam sterilization (121°C-134°C), typically between 37°C and 60°C, and utilize chemical sterilants in gaseous or liquid form, keeping device temperatures below about 60°C while still achieving a sterility assurance level of 10⁻⁶ [2].</t>
        </is>
      </c>
      <c r="D204" t="inlineStr" s="2">
        <is>
          <t xml:space="preserve">NTS arbeitet bei deutlich niedrigeren Temperaturen als die Dampfsterilisation (121–134 °C), typischerweise zwischen 37 °C und 60 °C. Dabei kommen chemische Sterilisationsmittel in gasförmiger oder flüssiger Form zum Einsatz, während die Temperatur des Medizinprodukts unter etwa 60 °C bleibt und gleichzeitig ein Sterilitätssicherheitsniveau (SAL) von 10⁻⁶ erreicht wird [2].</t>
        </is>
      </c>
      <c r="E204" t="inlineStr" s="0">
        <is>
          <t xml:space="preserve">High</t>
        </is>
      </c>
      <c r="F204" s="4"/>
      <c r="G204" t="inlineStr" s="2">
        <is>
          <t xml:space="preserve">Gleichzeitig verändern Fortschritte bei Biomaterialien und Medizintechnik, ein zunehmender Fokus auf Nachhaltigkeit – einschließlich der Reduktion toxischer Sterilisationsmittel wie Ethylenoxid [6] – sowie strengere Anforderungen an Validierung und regulatorische Konformität [6],[11],[8] die Aufbereitung von Medizinprodukten im klinischen Umfeld grundlegend.</t>
        </is>
      </c>
      <c r="H204" t="inlineStr" s="2">
        <is>
          <t xml:space="preserve">Diese Technologien reagieren empfindlich auf hohe Temperaturen und Feuchtigkeit. Die Einwirkung von Hitze und Dampf – wie sie bei der klassischen Dampfsterilisation üblich ist – kann zu Materialdegradation, mechanischen Problemen oder Funktionsausfällen führen [1],[9],[2],[12].</t>
        </is>
      </c>
      <c r="I204" t="inlineStr" s="2">
        <is>
          <t xml:space="preserve">Der wissenschaftliche Konsens ordnet sowohl „reine Dampfverfahren“ als auch plasmaunterstützte Systeme der oxidativen Sterilisation zu. Neuere Studien zeigen, dass in beiden Fällen das verdampfte Wasserstoffperoxid selbst der primäre wirksame Faktor ist – nicht der Plasmazustand [21].</t>
        </is>
      </c>
      <c r="J204" s="4"/>
      <c r="K204" s="2"/>
      <c r="L204" t="str" s="3">
        <f>HYPERLINK("https://www.getinge.com/de/news-und-events/neuigkeiten/gesundheitswesen/niedertemperatur-sterilisation-wenn-hitze-keine-option-ist/","/news-und-events/neuigkeiten/gesundheitswesen/niedertemperatur-sterilisation-wenn-hitze-keine-option-ist/")</f>
        <v>/news-und-events/neuigkeiten/gesundheitswesen/niedertemperatur-sterilisation-wenn-hitze-keine-option-ist/</v>
      </c>
    </row>
    <row r="205">
      <c r="A205" s="0">
        <v>204</v>
      </c>
      <c r="B205" t="str" s="3">
        <f>HYPERLINK("https://www.getinge.com/int/insights/updates/healthcare/low-temperature-sterilization-when-heat-is-not-an-option/","/insights/updates/healthcare/low-temperature-sterilization-when-heat-is-not-an-option/")</f>
        <v>/insights/updates/healthcare/low-temperature-sterilization-when-heat-is-not-an-option/</v>
      </c>
      <c r="C205" t="inlineStr" s="2">
        <is>
          <t xml:space="preserve">Which LTS method is the best for my setting?</t>
        </is>
      </c>
      <c r="D205" t="inlineStr" s="2">
        <is>
          <t xml:space="preserve">Welche NTS-Methode ist die richtige für meine Einrichtung?</t>
        </is>
      </c>
      <c r="E205" t="inlineStr" s="0">
        <is>
          <t xml:space="preserve">Medium</t>
        </is>
      </c>
      <c r="F205" s="4"/>
      <c r="G205" t="inlineStr" s="2">
        <is>
          <t xml:space="preserve">Aktuelle Entwicklungen in der NTS</t>
        </is>
      </c>
      <c r="H205" t="inlineStr" s="2">
        <is>
          <t xml:space="preserve">2. Niedertemperatur-Dampf und Formaldehyd (NTSF)</t>
        </is>
      </c>
      <c r="I205" t="inlineStr" s="2">
        <is>
          <t xml:space="preserve">3. Wasserstoffperoxid (VH₂O₂) und Gasplasma</t>
        </is>
      </c>
      <c r="J205" s="4"/>
      <c r="K205" s="2"/>
      <c r="L205" t="str" s="3">
        <f>HYPERLINK("https://www.getinge.com/de/news-und-events/neuigkeiten/gesundheitswesen/niedertemperatur-sterilisation-wenn-hitze-keine-option-ist/","/news-und-events/neuigkeiten/gesundheitswesen/niedertemperatur-sterilisation-wenn-hitze-keine-option-ist/")</f>
        <v>/news-und-events/neuigkeiten/gesundheitswesen/niedertemperatur-sterilisation-wenn-hitze-keine-option-ist/</v>
      </c>
    </row>
    <row r="206">
      <c r="A206" s="0">
        <v>205</v>
      </c>
      <c r="B206" t="str" s="3">
        <f>HYPERLINK("https://www.getinge.com/int/insights/updates/healthcare/low-temperature-sterilization-when-heat-is-not-an-option/","/insights/updates/healthcare/low-temperature-sterilization-when-heat-is-not-an-option/")</f>
        <v>/insights/updates/healthcare/low-temperature-sterilization-when-heat-is-not-an-option/</v>
      </c>
      <c r="C206" t="inlineStr" s="2">
        <is>
          <t xml:space="preserve">Several low-temperature sterilization methods are applied globally in healthcare settings, each with distinct mechanisms, advantages, and limitations. Here are the most common:</t>
        </is>
      </c>
      <c r="D206" t="inlineStr" s="2">
        <is>
          <t xml:space="preserve">Weltweit kommen verschiedene Niedertemperatur-Sterilisationsverfahren zum Einsatz, die sich hinsichtlich Wirkmechanismus, Vorteile und Einschränkungen unterscheiden. Die wichtigsten Verfahren sind:</t>
        </is>
      </c>
      <c r="E206" t="inlineStr" s="0">
        <is>
          <t xml:space="preserve">Medium</t>
        </is>
      </c>
      <c r="F206" s="4"/>
      <c r="G206" t="inlineStr" s="2">
        <is>
          <t xml:space="preserve">Die Niedertemperatur-Sterilisation (LTS/NTS) umfasst eine Gruppe von Verfahren zur Aufbereitung solcher empﬁndlichen Medizinprodukte und wird in AEMP weltweit eingesetzt.</t>
        </is>
      </c>
      <c r="H206" t="inlineStr" s="2">
        <is>
          <t xml:space="preserve">Die zunehmende Verwendung komplexer, hitze- und feuchtigkeitssensitiver Medizinprodukte schränkt die Anwendbarkeit der Dampfsterilisation ein und erhöht die Bedeutung der Niedertemperatur-Sterilisation (NTS).</t>
        </is>
      </c>
      <c r="I206" t="inlineStr" s="2">
        <is>
          <t xml:space="preserve">Keine einzelne NTS-Methode ist universell optimal. Ethylenoxid, wasserstoffperoxidbasierte Systeme, Niedertemperatur-Dampf und Formaldehyd sowie Peressigsäure haben jeweils spezifische Vor- und Nachteile.</t>
        </is>
      </c>
      <c r="J206" s="4"/>
      <c r="K206" s="2"/>
      <c r="L206" t="str" s="3">
        <f>HYPERLINK("https://www.getinge.com/de/news-und-events/neuigkeiten/gesundheitswesen/niedertemperatur-sterilisation-wenn-hitze-keine-option-ist/","/news-und-events/neuigkeiten/gesundheitswesen/niedertemperatur-sterilisation-wenn-hitze-keine-option-ist/")</f>
        <v>/news-und-events/neuigkeiten/gesundheitswesen/niedertemperatur-sterilisation-wenn-hitze-keine-option-ist/</v>
      </c>
    </row>
    <row r="207">
      <c r="A207" s="0">
        <v>206</v>
      </c>
      <c r="B207" t="str" s="3">
        <f>HYPERLINK("https://www.getinge.com/int/insights/updates/healthcare/low-temperature-sterilization-when-heat-is-not-an-option/","/insights/updates/healthcare/low-temperature-sterilization-when-heat-is-not-an-option/")</f>
        <v>/insights/updates/healthcare/low-temperature-sterilization-when-heat-is-not-an-option/</v>
      </c>
      <c r="C207" t="inlineStr" s="2">
        <is>
          <t xml:space="preserve">1. Ethylene Oxide (EtO) Sterilization</t>
        </is>
      </c>
      <c r="D207" t="inlineStr" s="2">
        <is>
          <t xml:space="preserve">1. Ethylenoxid (EtO)</t>
        </is>
      </c>
      <c r="E207" t="inlineStr" s="0">
        <is>
          <t xml:space="preserve">High</t>
        </is>
      </c>
      <c r="F207" s="4"/>
      <c r="G207" t="inlineStr" s="2">
        <is>
          <t xml:space="preserve">3. Wasserstoffperoxid (VH₂O₂) und Gasplasma</t>
        </is>
      </c>
      <c r="H207" t="inlineStr" s="2">
        <is>
          <t xml:space="preserve">2. Niedertemperatur-Dampf und Formaldehyd (NTSF)</t>
        </is>
      </c>
      <c r="I207" t="inlineStr" s="2">
        <is>
          <t xml:space="preserve">Nachteile: Formaldehyd ist toxisch und erfordert spezielle Systeme zur sicheren Handhabung und Entfernung [1].</t>
        </is>
      </c>
      <c r="J207" s="4"/>
      <c r="K207" s="2"/>
      <c r="L207" t="str" s="3">
        <f>HYPERLINK("https://www.getinge.com/de/news-und-events/neuigkeiten/gesundheitswesen/niedertemperatur-sterilisation-wenn-hitze-keine-option-ist/","/news-und-events/neuigkeiten/gesundheitswesen/niedertemperatur-sterilisation-wenn-hitze-keine-option-ist/")</f>
        <v>/news-und-events/neuigkeiten/gesundheitswesen/niedertemperatur-sterilisation-wenn-hitze-keine-option-ist/</v>
      </c>
    </row>
    <row r="208">
      <c r="A208" s="0">
        <v>207</v>
      </c>
      <c r="B208" t="str" s="3">
        <f>HYPERLINK("https://www.getinge.com/int/insights/updates/healthcare/low-temperature-sterilization-when-heat-is-not-an-option/","/insights/updates/healthcare/low-temperature-sterilization-when-heat-is-not-an-option/")</f>
        <v>/insights/updates/healthcare/low-temperature-sterilization-when-heat-is-not-an-option/</v>
      </c>
      <c r="C208" t="inlineStr" s="2">
        <is>
          <t xml:space="preserve">EtO has been the most common low-temperature sterilant in U.S. healthcare facilities since the 1950s [2] and has a long history. It eliminates microorganisms by changing the protein molecules in microbial cells [1]. EtO is subject to intensive oversight by OSHA and the EPA due to environmental and occupational safety concerns [6],[7], and the FDA is encouraging transitions to alternative sterilization methods [11].</t>
        </is>
      </c>
      <c r="D208" s="2"/>
      <c r="F208" s="4"/>
      <c r="G208" t="inlineStr" s="2">
        <is>
          <t xml:space="preserve">Wenn Sie für die Aufbereitung empfindlicher, hitzeempfindlicher Medizinprodukte verantwortlich sind, stellt die Niedertemperatur-Sterilisation keine einzelne Lösung dar. Keine Methode ist zu 100 % optimal, jede hat spezifische Vor- und Nachteile [2]. Die Auswahl hängt von Gerätetyp, Materialverträglichkeit, Lumengeometrie, Durchsatzanforderungen, Arbeitssicherheit, Emissionsvorschriften und wirtschaftlichen Rahmenbedingungen ab.</t>
        </is>
      </c>
      <c r="H208" t="inlineStr" s="2">
        <is>
          <t xml:space="preserve">Das System Getinge Poladus 150 wurde kürzlich als VH2O2-NTS-System eingeführt, das bei Temperaturen bis zu 55 °C arbeitet und darauf ausgelegt ist, kurze Zykluszeiten und einen höheren Durchsatz in der Sterilgutaufbereitung zu unterstützen. Sein Prozessdesign sowie die Integration in digitale Workflows und Rückverfolgbarkeitssysteme spiegeln aktuelle Entwicklungen in der NTS wider, die auf höhere Effizienz, strengere Prozesskontrolle und eine stärkere Ausrichtung an regulatorischen Anforderungen abzielen.</t>
        </is>
      </c>
      <c r="I208" t="inlineStr" s="2">
        <is>
          <t xml:space="preserve">NTS arbeitet bei deutlich niedrigeren Temperaturen als die Dampfsterilisation (121–134 °C), typischerweise zwischen 37 °C und 60 °C. Dabei kommen chemische Sterilisationsmittel in gasförmiger oder flüssiger Form zum Einsatz, während die Temperatur des Medizinprodukts unter etwa 60 °C bleibt und gleichzeitig ein Sterilitätssicherheitsniveau (SAL) von 10⁻⁶ erreicht wird [2].</t>
        </is>
      </c>
      <c r="J208" s="4"/>
      <c r="K208" s="2"/>
      <c r="L208" t="str" s="3">
        <f>HYPERLINK("https://www.getinge.com/de/news-und-events/neuigkeiten/gesundheitswesen/niedertemperatur-sterilisation-wenn-hitze-keine-option-ist/","/news-und-events/neuigkeiten/gesundheitswesen/niedertemperatur-sterilisation-wenn-hitze-keine-option-ist/")</f>
        <v>/news-und-events/neuigkeiten/gesundheitswesen/niedertemperatur-sterilisation-wenn-hitze-keine-option-ist/</v>
      </c>
    </row>
    <row r="209">
      <c r="A209" s="0">
        <v>208</v>
      </c>
      <c r="B209" t="str" s="3">
        <f>HYPERLINK("https://www.getinge.com/int/insights/updates/healthcare/low-temperature-sterilization-when-heat-is-not-an-option/","/insights/updates/healthcare/low-temperature-sterilization-when-heat-is-not-an-option/")</f>
        <v>/insights/updates/healthcare/low-temperature-sterilization-when-heat-is-not-an-option/</v>
      </c>
      <c r="C209" t="inlineStr" s="2">
        <is>
          <t xml:space="preserve">Advantages: EtO is highly versatile, offering broad material compatibility and exceptional penetration of complex device designs, including long and narrow lumens, and even large pallets of medical packaging including cardboard [12],[18],[2].</t>
        </is>
      </c>
      <c r="D209" t="inlineStr" s="2">
        <is>
          <t xml:space="preserve">Vorteile: EtO ist sehr vielseitig, bietet eine hohe Materialverträglichkeit und eine ausgezeichnete Penetration komplexer Geometrien, einschließlich langer, schmaler Lumina und sogar großer Verpackungseinheiten [12],[18],[2].</t>
        </is>
      </c>
      <c r="E209" t="inlineStr" s="0">
        <is>
          <t xml:space="preserve">Medium</t>
        </is>
      </c>
      <c r="F209" s="4"/>
      <c r="G209" t="inlineStr" s="2">
        <is>
          <t xml:space="preserve">Nachteile: EtO ist toxisch, krebserregend und brennbar [2],[12]. Da das Gas von Materialien absorbiert wird, sind lange Belüftungszeiten erforderlich, wodurch sich Gesamtzykluszeiten von häufig über 12 Stunden ergeben [12],[18],[2].</t>
        </is>
      </c>
      <c r="H209" t="inlineStr" s="2">
        <is>
          <t xml:space="preserve">Die Auswahl eines geeigneten NTS-Verfahrens sollte sich an Gerätedesign und Materialien, Lumengeometrie, Durchsatzanforderungen, Arbeitssicherheitsaspekten, regulatorischen Anforderungen und wirtschaftlichen Faktoren orientieren.</t>
        </is>
      </c>
      <c r="I209" t="inlineStr" s="2">
        <is>
          <t xml:space="preserve">Die Sterilisation von Medizinprodukten bleibt ein zentraler Bestandteil der Infektionsprävention im Krankenhaus, insbesondere da geräteassoziierte nosokomiale Infektionen weiterhin zu erhöhter Morbidität, längeren Krankenhausaufenthalten und erhöhter Mortalität auf Intensivstationen beitragen.</t>
        </is>
      </c>
      <c r="J209" s="4"/>
      <c r="K209" s="2"/>
      <c r="L209" t="str" s="3">
        <f>HYPERLINK("https://www.getinge.com/de/news-und-events/neuigkeiten/gesundheitswesen/niedertemperatur-sterilisation-wenn-hitze-keine-option-ist/","/news-und-events/neuigkeiten/gesundheitswesen/niedertemperatur-sterilisation-wenn-hitze-keine-option-ist/")</f>
        <v>/news-und-events/neuigkeiten/gesundheitswesen/niedertemperatur-sterilisation-wenn-hitze-keine-option-ist/</v>
      </c>
    </row>
    <row r="210">
      <c r="A210" s="0">
        <v>209</v>
      </c>
      <c r="B210" t="str" s="3">
        <f>HYPERLINK("https://www.getinge.com/int/insights/updates/healthcare/low-temperature-sterilization-when-heat-is-not-an-option/","/insights/updates/healthcare/low-temperature-sterilization-when-heat-is-not-an-option/")</f>
        <v>/insights/updates/healthcare/low-temperature-sterilization-when-heat-is-not-an-option/</v>
      </c>
      <c r="C210" t="inlineStr" s="2">
        <is>
          <t xml:space="preserve">Disadvantages: EtO is toxic, carcinogenic, and flammable [2],[12]. Because the gas is absorbed by materials, lengthy aeration periods are required to remove hazardous residues, resulting in total cycle times that often exceed 12 hours [12],[18],[2].</t>
        </is>
      </c>
      <c r="D210" t="inlineStr" s="2">
        <is>
          <t xml:space="preserve">Nachteile: EtO ist toxisch, krebserregend und brennbar [2],[12]. Da das Gas von Materialien absorbiert wird, sind lange Belüftungszeiten erforderlich, wodurch sich Gesamtzykluszeiten von häufig über 12 Stunden ergeben [12],[18],[2].</t>
        </is>
      </c>
      <c r="E210" t="inlineStr" s="0">
        <is>
          <t xml:space="preserve">Medium</t>
        </is>
      </c>
      <c r="F210" s="4"/>
      <c r="G210" t="inlineStr" s="2">
        <is>
          <t xml:space="preserve">Vorteile: EtO ist sehr vielseitig, bietet eine hohe Materialverträglichkeit und eine ausgezeichnete Penetration komplexer Geometrien, einschließlich langer, schmaler Lumina und sogar großer Verpackungseinheiten [12],[18],[2].</t>
        </is>
      </c>
      <c r="H210" t="inlineStr" s="2">
        <is>
          <t xml:space="preserve">Unter den verfügbaren NTS-Verfahren bieten wasserstoffperoxidbasierte Systeme besondere Vorteile hinsichtlich kurzer Zykluszeiten, dem Fehlen toxischer Rückstände und einer geringeren Umwelt- und Arbeitsplatzbelastung im Vergleich zu Ethylenoxid.</t>
        </is>
      </c>
      <c r="I210" t="inlineStr" s="2">
        <is>
          <t xml:space="preserve">Die Sterilisation von Medizinprodukten bleibt ein zentraler Bestandteil der Infektionsprävention im Krankenhaus, insbesondere da geräteassoziierte nosokomiale Infektionen weiterhin zu erhöhter Morbidität, längeren Krankenhausaufenthalten und erhöhter Mortalität auf Intensivstationen beitragen.</t>
        </is>
      </c>
      <c r="J210" s="4"/>
      <c r="K210" s="2"/>
      <c r="L210" t="str" s="3">
        <f>HYPERLINK("https://www.getinge.com/de/news-und-events/neuigkeiten/gesundheitswesen/niedertemperatur-sterilisation-wenn-hitze-keine-option-ist/","/news-und-events/neuigkeiten/gesundheitswesen/niedertemperatur-sterilisation-wenn-hitze-keine-option-ist/")</f>
        <v>/news-und-events/neuigkeiten/gesundheitswesen/niedertemperatur-sterilisation-wenn-hitze-keine-option-ist/</v>
      </c>
    </row>
    <row r="211">
      <c r="A211" s="0">
        <v>210</v>
      </c>
      <c r="B211" t="str" s="3">
        <f>HYPERLINK("https://www.getinge.com/int/insights/updates/healthcare/low-temperature-sterilization-when-heat-is-not-an-option/","/insights/updates/healthcare/low-temperature-sterilization-when-heat-is-not-an-option/")</f>
        <v>/insights/updates/healthcare/low-temperature-sterilization-when-heat-is-not-an-option/</v>
      </c>
      <c r="C211" t="inlineStr" s="2">
        <is>
          <t xml:space="preserve">2. Low-Temperature Steam and Formaldehyde (LTSF)</t>
        </is>
      </c>
      <c r="D211" t="inlineStr" s="2">
        <is>
          <t xml:space="preserve">2. Niedertemperatur-Dampf und Formaldehyd (NTSF)</t>
        </is>
      </c>
      <c r="E211" t="inlineStr" s="0">
        <is>
          <t xml:space="preserve">High</t>
        </is>
      </c>
      <c r="F211" s="4"/>
      <c r="G211" t="inlineStr" s="2">
        <is>
          <t xml:space="preserve">Welche NTS-Methode ist die richtige für meine Einrichtung?</t>
        </is>
      </c>
      <c r="H211" t="inlineStr" s="2">
        <is>
          <t xml:space="preserve">3. Wasserstoffperoxid (VH₂O₂) und Gasplasma</t>
        </is>
      </c>
      <c r="I211" s="2"/>
      <c r="J211" s="4"/>
      <c r="K211" s="2"/>
      <c r="L211" t="str" s="3">
        <f>HYPERLINK("https://www.getinge.com/de/news-und-events/neuigkeiten/gesundheitswesen/niedertemperatur-sterilisation-wenn-hitze-keine-option-ist/","/news-und-events/neuigkeiten/gesundheitswesen/niedertemperatur-sterilisation-wenn-hitze-keine-option-ist/")</f>
        <v>/news-und-events/neuigkeiten/gesundheitswesen/niedertemperatur-sterilisation-wenn-hitze-keine-option-ist/</v>
      </c>
    </row>
    <row r="212">
      <c r="A212" s="0">
        <v>211</v>
      </c>
      <c r="B212" t="str" s="3">
        <f>HYPERLINK("https://www.getinge.com/int/insights/updates/healthcare/low-temperature-sterilization-when-heat-is-not-an-option/","/insights/updates/healthcare/low-temperature-sterilization-when-heat-is-not-an-option/")</f>
        <v>/insights/updates/healthcare/low-temperature-sterilization-when-heat-is-not-an-option/</v>
      </c>
      <c r="C212" t="inlineStr" s="2">
        <is>
          <t xml:space="preserve">LTSF combines sub-atmospheric steam at approximately 60–80 °C with formaldehyde gas, which reacts with microbial proteins to sterilize heat-sensitive devices that can tolerate some moisture [1].</t>
        </is>
      </c>
      <c r="D212" t="inlineStr" s="2">
        <is>
          <t xml:space="preserve">Dieses Verfahren kombiniert Dampf bei etwa 60–80 °C mit Formaldehydgas, das mit mikrobiellen Proteinen reagiert und so sterilisiert [1].</t>
        </is>
      </c>
      <c r="E212" t="inlineStr" s="0">
        <is>
          <t xml:space="preserve">Medium</t>
        </is>
      </c>
      <c r="F212" s="4"/>
      <c r="G212" t="inlineStr" s="2">
        <is>
          <t xml:space="preserve">Ethylenoxid wird seit den 1950er Jahren eingesetzt und ist in den USA eines der am weitesten verbreiteten Niedertemperatur-Sterilisationsverfahren [2]. Es wirkt, indem es Proteine in Mikroorganismen chemisch verändert [1].</t>
        </is>
      </c>
      <c r="H212" t="inlineStr" s="2">
        <is>
          <t xml:space="preserve">Weltweit kommen verschiedene Niedertemperatur-Sterilisationsverfahren zum Einsatz, die sich hinsichtlich Wirkmechanismus, Vorteile und Einschränkungen unterscheiden. Die wichtigsten Verfahren sind:</t>
        </is>
      </c>
      <c r="I212" t="inlineStr" s="2">
        <is>
          <t xml:space="preserve">Die zunehmende Verwendung komplexer, hitze- und feuchtigkeitssensitiver Medizinprodukte schränkt die Anwendbarkeit der Dampfsterilisation ein und erhöht die Bedeutung der Niedertemperatur-Sterilisation (NTS).</t>
        </is>
      </c>
      <c r="J212" s="4"/>
      <c r="K212" s="2"/>
      <c r="L212" t="str" s="3">
        <f>HYPERLINK("https://www.getinge.com/de/news-und-events/neuigkeiten/gesundheitswesen/niedertemperatur-sterilisation-wenn-hitze-keine-option-ist/","/news-und-events/neuigkeiten/gesundheitswesen/niedertemperatur-sterilisation-wenn-hitze-keine-option-ist/")</f>
        <v>/news-und-events/neuigkeiten/gesundheitswesen/niedertemperatur-sterilisation-wenn-hitze-keine-option-ist/</v>
      </c>
    </row>
    <row r="213">
      <c r="A213" s="0">
        <v>212</v>
      </c>
      <c r="B213" t="str" s="3">
        <f>HYPERLINK("https://www.getinge.com/int/insights/updates/healthcare/low-temperature-sterilization-when-heat-is-not-an-option/","/insights/updates/healthcare/low-temperature-sterilization-when-heat-is-not-an-option/")</f>
        <v>/insights/updates/healthcare/low-temperature-sterilization-when-heat-is-not-an-option/</v>
      </c>
      <c r="C213" t="inlineStr" s="2">
        <is>
          <t xml:space="preserve">Advantages: LTSF offers easy penetrability and fast speed [3], good material compatibility, is cost-effective to operate, and allows sterilization within soft packaging or containers [1]. For slender lumen instruments, effective sterilization can be achieved [3].</t>
        </is>
      </c>
      <c r="D213" t="inlineStr" s="2">
        <is>
          <t xml:space="preserve">Vorteile: Gute Penetration, kurze Zykluszeiten [3], gute Materialverträglichkeit, wirtschaftlicher Betrieb sowie Sterilisation in Verpackungen oder Containern möglich [1].</t>
        </is>
      </c>
      <c r="E213" t="inlineStr" s="0">
        <is>
          <t xml:space="preserve">Low</t>
        </is>
      </c>
      <c r="F213" s="4"/>
      <c r="G213" t="inlineStr" s="2">
        <is>
          <t xml:space="preserve">Die Sterilisation von Medizinprodukten bleibt ein zentraler Bestandteil der Infektionsprävention im Krankenhaus, insbesondere da geräteassoziierte nosokomiale Infektionen weiterhin zu erhöhter Morbidität, längeren Krankenhausaufenthalten und erhöhter Mortalität auf Intensivstationen beitragen.</t>
        </is>
      </c>
      <c r="H213" t="inlineStr" s="2">
        <is>
          <t xml:space="preserve">Vorteile: EtO ist sehr vielseitig, bietet eine hohe Materialverträglichkeit und eine ausgezeichnete Penetration komplexer Geometrien, einschließlich langer, schmaler Lumina und sogar großer Verpackungseinheiten [12],[18],[2].</t>
        </is>
      </c>
      <c r="I213" t="inlineStr" s="2">
        <is>
          <t xml:space="preserve">Diese Technologien reagieren empfindlich auf hohe Temperaturen und Feuchtigkeit. Die Einwirkung von Hitze und Dampf – wie sie bei der klassischen Dampfsterilisation üblich ist – kann zu Materialdegradation, mechanischen Problemen oder Funktionsausfällen führen [1],[9],[2],[12].</t>
        </is>
      </c>
      <c r="J213" s="4"/>
      <c r="K213" s="2"/>
      <c r="L213" t="str" s="3">
        <f>HYPERLINK("https://www.getinge.com/de/news-und-events/neuigkeiten/gesundheitswesen/niedertemperatur-sterilisation-wenn-hitze-keine-option-ist/","/news-und-events/neuigkeiten/gesundheitswesen/niedertemperatur-sterilisation-wenn-hitze-keine-option-ist/")</f>
        <v>/news-und-events/neuigkeiten/gesundheitswesen/niedertemperatur-sterilisation-wenn-hitze-keine-option-ist/</v>
      </c>
    </row>
    <row r="214">
      <c r="A214" s="0">
        <v>213</v>
      </c>
      <c r="B214" t="str" s="3">
        <f>HYPERLINK("https://www.getinge.com/int/insights/updates/healthcare/low-temperature-sterilization-when-heat-is-not-an-option/","/insights/updates/healthcare/low-temperature-sterilization-when-heat-is-not-an-option/")</f>
        <v>/insights/updates/healthcare/low-temperature-sterilization-when-heat-is-not-an-option/</v>
      </c>
      <c r="C214" t="inlineStr" s="2">
        <is>
          <t xml:space="preserve">Disadvantages: Formaldehyde is a hazardous substance regulated for its toxicity and requires dedicated automated systems to ensure safe handling and effective removal [1].</t>
        </is>
      </c>
      <c r="D214" t="inlineStr" s="2">
        <is>
          <t xml:space="preserve">Nachteile: Formaldehyd ist toxisch und erfordert spezielle Systeme zur sicheren Handhabung und Entfernung [1].</t>
        </is>
      </c>
      <c r="E214" t="inlineStr" s="0">
        <is>
          <t xml:space="preserve">Medium</t>
        </is>
      </c>
      <c r="F214" s="4"/>
      <c r="G214" t="inlineStr" s="2">
        <is>
          <t xml:space="preserve">Keine einzelne NTS-Methode ist universell optimal. Ethylenoxid, wasserstoffperoxidbasierte Systeme, Niedertemperatur-Dampf und Formaldehyd sowie Peressigsäure haben jeweils spezifische Vor- und Nachteile.</t>
        </is>
      </c>
      <c r="H214" t="inlineStr" s="2">
        <is>
          <t xml:space="preserve">NTS ermöglicht die effektive Aufbereitung empfindlicher Medizinprodukte bei Temperaturen zwischen 37 °C und 60 °C und erreicht dabei ein Sterilitätssicherheitsniveau von 10⁻⁶.</t>
        </is>
      </c>
      <c r="I214" t="inlineStr" s="2">
        <is>
          <t xml:space="preserve">Wasserstoffperoxidbasierte NTS-Verfahren sind etabliert für die Aufbereitung hitzeempfindlicher Instrumente und für viele Gerätetypen, einschließlich elektronischer und optischer Komponenten, regulatorisch zugelassen.</t>
        </is>
      </c>
      <c r="J214" s="4"/>
      <c r="K214" s="2"/>
      <c r="L214" t="str" s="3">
        <f>HYPERLINK("https://www.getinge.com/de/news-und-events/neuigkeiten/gesundheitswesen/niedertemperatur-sterilisation-wenn-hitze-keine-option-ist/","/news-und-events/neuigkeiten/gesundheitswesen/niedertemperatur-sterilisation-wenn-hitze-keine-option-ist/")</f>
        <v>/news-und-events/neuigkeiten/gesundheitswesen/niedertemperatur-sterilisation-wenn-hitze-keine-option-ist/</v>
      </c>
    </row>
    <row r="215">
      <c r="A215" s="0">
        <v>214</v>
      </c>
      <c r="B215" t="str" s="3">
        <f>HYPERLINK("https://www.getinge.com/int/insights/updates/healthcare/low-temperature-sterilization-when-heat-is-not-an-option/","/insights/updates/healthcare/low-temperature-sterilization-when-heat-is-not-an-option/")</f>
        <v>/insights/updates/healthcare/low-temperature-sterilization-when-heat-is-not-an-option/</v>
      </c>
      <c r="C215" t="inlineStr" s="2">
        <is>
          <t xml:space="preserve">3. Hydrogen Peroxide (vH2O2) and Gas Plasma</t>
        </is>
      </c>
      <c r="D215" t="inlineStr" s="2">
        <is>
          <t xml:space="preserve">3. Wasserstoffperoxid (VH₂O₂) und Gasplasma</t>
        </is>
      </c>
      <c r="E215" t="inlineStr" s="0">
        <is>
          <t xml:space="preserve">High</t>
        </is>
      </c>
      <c r="F215" s="4"/>
      <c r="G215" t="inlineStr" s="2">
        <is>
          <t xml:space="preserve">2. Niedertemperatur-Dampf und Formaldehyd (NTSF)</t>
        </is>
      </c>
      <c r="H215" t="inlineStr" s="2">
        <is>
          <t xml:space="preserve">Welche NTS-Methode ist die richtige für meine Einrichtung?</t>
        </is>
      </c>
      <c r="I215" t="inlineStr" s="2">
        <is>
          <t xml:space="preserve">Das heutige Instrumentarium umfasst zunehmend komplexe und empfindliche Geräte, die beispielsweise in minimalinvasiven oder robotergestützten Verfahren eingesetzt werden. Endoskope, Kameras, 3D-gedruckte Implantate, Ultraschallsonden oder elektronische Sensoren enthalten Polymere, Elastomere, Klebstoffe sowie elektronische und optische Komponenten und weisen komplexe Geometrien auf.</t>
        </is>
      </c>
      <c r="J215" s="4"/>
      <c r="K215" s="2"/>
      <c r="L215" t="str" s="3">
        <f>HYPERLINK("https://www.getinge.com/de/news-und-events/neuigkeiten/gesundheitswesen/niedertemperatur-sterilisation-wenn-hitze-keine-option-ist/","/news-und-events/neuigkeiten/gesundheitswesen/niedertemperatur-sterilisation-wenn-hitze-keine-option-ist/")</f>
        <v>/news-und-events/neuigkeiten/gesundheitswesen/niedertemperatur-sterilisation-wenn-hitze-keine-option-ist/</v>
      </c>
    </row>
    <row r="216">
      <c r="A216" s="0">
        <v>215</v>
      </c>
      <c r="B216" t="str" s="3">
        <f>HYPERLINK("https://www.getinge.com/int/insights/updates/healthcare/low-temperature-sterilization-when-heat-is-not-an-option/","/insights/updates/healthcare/low-temperature-sterilization-when-heat-is-not-an-option/")</f>
        <v>/insights/updates/healthcare/low-temperature-sterilization-when-heat-is-not-an-option/</v>
      </c>
      <c r="C216" t="inlineStr" s="2">
        <is>
          <t xml:space="preserve">Hydrogen Peroxide (VH2O2) and Gas Plasma</t>
        </is>
      </c>
      <c r="D216" s="2"/>
      <c r="F216" s="4"/>
      <c r="G216" t="inlineStr" s="2">
        <is>
          <t xml:space="preserve">3. Wasserstoffperoxid (VH₂O₂) und Gasplasma</t>
        </is>
      </c>
      <c r="H216" t="inlineStr" s="2">
        <is>
          <t xml:space="preserve">Welche NTS-Methode ist die richtige für meine Einrichtung?</t>
        </is>
      </c>
      <c r="I216" t="inlineStr" s="2">
        <is>
          <t xml:space="preserve">Aktuelle Entwicklungen in der NTS</t>
        </is>
      </c>
      <c r="J216" s="4"/>
      <c r="K216" s="2"/>
      <c r="L216" t="str" s="3">
        <f>HYPERLINK("https://www.getinge.com/de/news-und-events/neuigkeiten/gesundheitswesen/niedertemperatur-sterilisation-wenn-hitze-keine-option-ist/","/news-und-events/neuigkeiten/gesundheitswesen/niedertemperatur-sterilisation-wenn-hitze-keine-option-ist/")</f>
        <v>/news-und-events/neuigkeiten/gesundheitswesen/niedertemperatur-sterilisation-wenn-hitze-keine-option-ist/</v>
      </c>
    </row>
    <row r="217">
      <c r="A217" s="0">
        <v>216</v>
      </c>
      <c r="B217" t="str" s="3">
        <f>HYPERLINK("https://www.getinge.com/int/insights/updates/healthcare/low-temperature-sterilization-when-heat-is-not-an-option/","/insights/updates/healthcare/low-temperature-sterilization-when-heat-is-not-an-option/")</f>
        <v>/insights/updates/healthcare/low-temperature-sterilization-when-heat-is-not-an-option/</v>
      </c>
      <c r="C217" t="inlineStr" s="2">
        <is>
          <t xml:space="preserve">Scientific consensus increasingly categorizes both "vapor-only" and "plasma-assisted" systems under the broader definition of oxidative sterilization. While distinct in hardware, recent literature suggests that the primary lethal agent in both technologies is the hydrogen peroxide vapor itself, rather than the plasma state [21].</t>
        </is>
      </c>
      <c r="D217" t="inlineStr" s="2">
        <is>
          <t xml:space="preserve">Der wissenschaftliche Konsens ordnet sowohl „reine Dampfverfahren“ als auch plasmaunterstützte Systeme der oxidativen Sterilisation zu. Neuere Studien zeigen, dass in beiden Fällen das verdampfte Wasserstoffperoxid selbst der primäre wirksame Faktor ist – nicht der Plasmazustand [21].</t>
        </is>
      </c>
      <c r="E217" t="inlineStr" s="0">
        <is>
          <t xml:space="preserve">Medium</t>
        </is>
      </c>
      <c r="F217" s="4"/>
      <c r="G217" t="inlineStr" s="2">
        <is>
          <t xml:space="preserve">Gleichzeitig verändern Fortschritte bei Biomaterialien und Medizintechnik, ein zunehmender Fokus auf Nachhaltigkeit – einschließlich der Reduktion toxischer Sterilisationsmittel wie Ethylenoxid [6] – sowie strengere Anforderungen an Validierung und regulatorische Konformität [6],[11],[8] die Aufbereitung von Medizinprodukten im klinischen Umfeld grundlegend.</t>
        </is>
      </c>
      <c r="H217" t="inlineStr" s="2">
        <is>
          <t xml:space="preserve">NTS arbeitet bei deutlich niedrigeren Temperaturen als die Dampfsterilisation (121–134 °C), typischerweise zwischen 37 °C und 60 °C. Dabei kommen chemische Sterilisationsmittel in gasförmiger oder flüssiger Form zum Einsatz, während die Temperatur des Medizinprodukts unter etwa 60 °C bleibt und gleichzeitig ein Sterilitätssicherheitsniveau (SAL) von 10⁻⁶ erreicht wird [2].</t>
        </is>
      </c>
      <c r="I217" t="inlineStr" s="2">
        <is>
          <t xml:space="preserve">Das heutige Instrumentarium umfasst zunehmend komplexe und empfindliche Geräte, die beispielsweise in minimalinvasiven oder robotergestützten Verfahren eingesetzt werden. Endoskope, Kameras, 3D-gedruckte Implantate, Ultraschallsonden oder elektronische Sensoren enthalten Polymere, Elastomere, Klebstoffe sowie elektronische und optische Komponenten und weisen komplexe Geometrien auf.</t>
        </is>
      </c>
      <c r="J217" s="4"/>
      <c r="K217" s="2"/>
      <c r="L217" t="str" s="3">
        <f>HYPERLINK("https://www.getinge.com/de/news-und-events/neuigkeiten/gesundheitswesen/niedertemperatur-sterilisation-wenn-hitze-keine-option-ist/","/news-und-events/neuigkeiten/gesundheitswesen/niedertemperatur-sterilisation-wenn-hitze-keine-option-ist/")</f>
        <v>/news-und-events/neuigkeiten/gesundheitswesen/niedertemperatur-sterilisation-wenn-hitze-keine-option-ist/</v>
      </c>
    </row>
    <row r="218">
      <c r="A218" s="0">
        <v>217</v>
      </c>
      <c r="B218" t="str" s="3">
        <f>HYPERLINK("https://www.getinge.com/int/insights/updates/healthcare/low-temperature-sterilization-when-heat-is-not-an-option/","/insights/updates/healthcare/low-temperature-sterilization-when-heat-is-not-an-option/")</f>
        <v>/insights/updates/healthcare/low-temperature-sterilization-when-heat-is-not-an-option/</v>
      </c>
      <c r="C218" t="inlineStr" s="2">
        <is>
          <t xml:space="preserve">Active Residue Removal (Plasma Phase): The distinct advantage of applying radiofrequency energy (plasma) is its ability to actively dissociate hazardous residues. By generating plasma at the end of the process, residual hydrogen peroxide molecules are rapidly broken down into non-toxic water vapor and oxygen, ensuring the safety of the load for immediate handling [22]</t>
        </is>
      </c>
      <c r="D218" s="2"/>
      <c r="F218" s="4"/>
      <c r="G218" t="inlineStr" s="2">
        <is>
          <t xml:space="preserve">Aktive Rückstandsreduktion (Plasmaphase): Plasma kann Reststoffe aktiv in Wasser und Sauerstoff zerlegen und so eine sichere Handhabung nach dem Zyklus ermöglichen [22].</t>
        </is>
      </c>
      <c r="H218" t="inlineStr" s="2">
        <is>
          <t xml:space="preserve">Materialeinschränkungen: Nicht geeignet für Zellulose, Textilien oder Flüssigkeiten, da diese das Sterilisationsmittel absorbieren [22].</t>
        </is>
      </c>
      <c r="I218" t="inlineStr" s="2">
        <is>
          <t xml:space="preserve">Wenn Sie für die Aufbereitung empfindlicher, hitzeempfindlicher Medizinprodukte verantwortlich sind, stellt die Niedertemperatur-Sterilisation keine einzelne Lösung dar. Keine Methode ist zu 100 % optimal, jede hat spezifische Vor- und Nachteile [2]. Die Auswahl hängt von Gerätetyp, Materialverträglichkeit, Lumengeometrie, Durchsatzanforderungen, Arbeitssicherheit, Emissionsvorschriften und wirtschaftlichen Rahmenbedingungen ab.</t>
        </is>
      </c>
      <c r="J218" s="4"/>
      <c r="K218" s="2"/>
      <c r="L218" t="str" s="3">
        <f>HYPERLINK("https://www.getinge.com/de/news-und-events/neuigkeiten/gesundheitswesen/niedertemperatur-sterilisation-wenn-hitze-keine-option-ist/","/news-und-events/neuigkeiten/gesundheitswesen/niedertemperatur-sterilisation-wenn-hitze-keine-option-ist/")</f>
        <v>/news-und-events/neuigkeiten/gesundheitswesen/niedertemperatur-sterilisation-wenn-hitze-keine-option-ist/</v>
      </c>
    </row>
    <row r="219">
      <c r="A219" s="0">
        <v>218</v>
      </c>
      <c r="B219" t="str" s="3">
        <f>HYPERLINK("https://www.getinge.com/int/insights/updates/healthcare/low-temperature-sterilization-when-heat-is-not-an-option/","/insights/updates/healthcare/low-temperature-sterilization-when-heat-is-not-an-option/")</f>
        <v>/insights/updates/healthcare/low-temperature-sterilization-when-heat-is-not-an-option/</v>
      </c>
      <c r="C219" t="inlineStr" s="2">
        <is>
          <t xml:space="preserve">Deep Lumen Penetration (Vapor Phase): The vaporized hydrogen peroxide component possesses superior diffusion capabilities, allowing it to navigate complex geometries. Academic reviews confirm that sterilization within long, narrow lumens is achieved specifically by the vapor molecules reaching these surfaces, as the gas plasma itself cannot propagate into such restricted spaces [23].</t>
        </is>
      </c>
      <c r="D219" s="2"/>
      <c r="F219" s="4"/>
      <c r="G219" t="inlineStr" s="2">
        <is>
          <t xml:space="preserve">Penetration komplexer Geometrien (Dampfphase): Das verdampfte Wasserstoffperoxid kann komplexe Strukturen durchdringen, während Plasma selbst nicht in enge Lumina eindringen kann [23].</t>
        </is>
      </c>
      <c r="H219" t="inlineStr" s="2">
        <is>
          <t xml:space="preserve">Wenn Sie für die Aufbereitung empfindlicher, hitzeempfindlicher Medizinprodukte verantwortlich sind, stellt die Niedertemperatur-Sterilisation keine einzelne Lösung dar. Keine Methode ist zu 100 % optimal, jede hat spezifische Vor- und Nachteile [2]. Die Auswahl hängt von Gerätetyp, Materialverträglichkeit, Lumengeometrie, Durchsatzanforderungen, Arbeitssicherheit, Emissionsvorschriften und wirtschaftlichen Rahmenbedingungen ab.</t>
        </is>
      </c>
      <c r="I219" t="inlineStr" s="2">
        <is>
          <t xml:space="preserve">Das heutige Instrumentarium umfasst zunehmend komplexe und empfindliche Geräte, die beispielsweise in minimalinvasiven oder robotergestützten Verfahren eingesetzt werden. Endoskope, Kameras, 3D-gedruckte Implantate, Ultraschallsonden oder elektronische Sensoren enthalten Polymere, Elastomere, Klebstoffe sowie elektronische und optische Komponenten und weisen komplexe Geometrien auf.</t>
        </is>
      </c>
      <c r="J219" s="4"/>
      <c r="K219" s="2"/>
      <c r="L219" t="str" s="3">
        <f>HYPERLINK("https://www.getinge.com/de/news-und-events/neuigkeiten/gesundheitswesen/niedertemperatur-sterilisation-wenn-hitze-keine-option-ist/","/news-und-events/neuigkeiten/gesundheitswesen/niedertemperatur-sterilisation-wenn-hitze-keine-option-ist/")</f>
        <v>/news-und-events/neuigkeiten/gesundheitswesen/niedertemperatur-sterilisation-wenn-hitze-keine-option-ist/</v>
      </c>
    </row>
    <row r="220">
      <c r="A220" s="0">
        <v>219</v>
      </c>
      <c r="B220" t="str" s="3">
        <f>HYPERLINK("https://www.getinge.com/int/insights/updates/healthcare/low-temperature-sterilization-when-heat-is-not-an-option/","/insights/updates/healthcare/low-temperature-sterilization-when-heat-is-not-an-option/")</f>
        <v>/insights/updates/healthcare/low-temperature-sterilization-when-heat-is-not-an-option/</v>
      </c>
      <c r="C220" t="inlineStr" s="2">
        <is>
          <t xml:space="preserve">Rapid Cycle Times: Both variations of this technology offer significantly faster turnover times compared to ethylene oxide or steam. The oxidative efficiency of the vapor allows for rapid microbial inactivation at low temperatures, making these systems ideal for high-volume processing of heat-sensitive inventory [24].</t>
        </is>
      </c>
      <c r="D220" s="2"/>
      <c r="F220" s="4"/>
      <c r="G220" t="inlineStr" s="2">
        <is>
          <t xml:space="preserve">Kurze Zykluszeiten: Schnelle mikrobiologische Inaktivierung ermöglicht hohe Durchsatzraten [24].</t>
        </is>
      </c>
      <c r="H220" t="inlineStr" s="2">
        <is>
          <t xml:space="preserve">Das heutige Instrumentarium umfasst zunehmend komplexe und empfindliche Geräte, die beispielsweise in minimalinvasiven oder robotergestützten Verfahren eingesetzt werden. Endoskope, Kameras, 3D-gedruckte Implantate, Ultraschallsonden oder elektronische Sensoren enthalten Polymere, Elastomere, Klebstoffe sowie elektronische und optische Komponenten und weisen komplexe Geometrien auf.</t>
        </is>
      </c>
      <c r="I220" t="inlineStr" s="2">
        <is>
          <t xml:space="preserve">Gleichzeitig verändern Fortschritte bei Biomaterialien und Medizintechnik, ein zunehmender Fokus auf Nachhaltigkeit – einschließlich der Reduktion toxischer Sterilisationsmittel wie Ethylenoxid [6] – sowie strengere Anforderungen an Validierung und regulatorische Konformität [6],[11],[8] die Aufbereitung von Medizinprodukten im klinischen Umfeld grundlegend.</t>
        </is>
      </c>
      <c r="J220" s="4"/>
      <c r="K220" s="2"/>
      <c r="L220" t="str" s="3">
        <f>HYPERLINK("https://www.getinge.com/de/news-und-events/neuigkeiten/gesundheitswesen/niedertemperatur-sterilisation-wenn-hitze-keine-option-ist/","/news-und-events/neuigkeiten/gesundheitswesen/niedertemperatur-sterilisation-wenn-hitze-keine-option-ist/")</f>
        <v>/news-und-events/neuigkeiten/gesundheitswesen/niedertemperatur-sterilisation-wenn-hitze-keine-option-ist/</v>
      </c>
    </row>
    <row r="221">
      <c r="A221" s="0">
        <v>220</v>
      </c>
      <c r="B221" t="str" s="3">
        <f>HYPERLINK("https://www.getinge.com/int/insights/updates/healthcare/low-temperature-sterilization-when-heat-is-not-an-option/","/insights/updates/healthcare/low-temperature-sterilization-when-heat-is-not-an-option/")</f>
        <v>/insights/updates/healthcare/low-temperature-sterilization-when-heat-is-not-an-option/</v>
      </c>
      <c r="C221" t="inlineStr" s="2">
        <is>
          <t xml:space="preserve">Limited Plasma Reach: A critical limitation of the plasma phase is that it is a surface phenomenon with shallow penetration depth. Research demonstrates that the antimicrobial activity of the plasma energy does not extend into the interior of long tubes, meaning it does not contribute to the sterilization of internal device surfaces [21].</t>
        </is>
      </c>
      <c r="D221" s="2"/>
      <c r="F221" s="4"/>
      <c r="G221" t="inlineStr" s="2">
        <is>
          <t xml:space="preserve">Der wissenschaftliche Konsens ordnet sowohl „reine Dampfverfahren“ als auch plasmaunterstützte Systeme der oxidativen Sterilisation zu. Neuere Studien zeigen, dass in beiden Fällen das verdampfte Wasserstoffperoxid selbst der primäre wirksame Faktor ist – nicht der Plasmazustand [21].</t>
        </is>
      </c>
      <c r="H221" t="inlineStr" s="2">
        <is>
          <t xml:space="preserve">Begrenzte Wirkung von Plasma: Plasma wirkt nur oberflächlich und trägt nicht zur Sterilisation in Lumina bei [21].</t>
        </is>
      </c>
      <c r="I221" t="inlineStr" s="2">
        <is>
          <t xml:space="preserve">Komplexere Systemtechnik: Plasmaerzeugung erhöht die Systemkomplexität und potenziell Wartungskosten [21].</t>
        </is>
      </c>
      <c r="J221" s="4"/>
      <c r="K221" s="2"/>
      <c r="L221" t="str" s="3">
        <f>HYPERLINK("https://www.getinge.com/de/news-und-events/neuigkeiten/gesundheitswesen/niedertemperatur-sterilisation-wenn-hitze-keine-option-ist/","/news-und-events/neuigkeiten/gesundheitswesen/niedertemperatur-sterilisation-wenn-hitze-keine-option-ist/")</f>
        <v>/news-und-events/neuigkeiten/gesundheitswesen/niedertemperatur-sterilisation-wenn-hitze-keine-option-ist/</v>
      </c>
    </row>
    <row r="222">
      <c r="A222" s="0">
        <v>221</v>
      </c>
      <c r="B222" t="str" s="3">
        <f>HYPERLINK("https://www.getinge.com/int/insights/updates/healthcare/low-temperature-sterilization-when-heat-is-not-an-option/","/insights/updates/healthcare/low-temperature-sterilization-when-heat-is-not-an-option/")</f>
        <v>/insights/updates/healthcare/low-temperature-sterilization-when-heat-is-not-an-option/</v>
      </c>
      <c r="C222" t="inlineStr" s="2">
        <is>
          <t xml:space="preserve">Hardware Complexity and Cost: Systems that require plasma generation involve complex components, such as radiofrequency coils and matching networks. This added complexity can increase the potential for technical failure and maintenance costs compared to systems that rely solely on the injection and removal of vapor [21].</t>
        </is>
      </c>
      <c r="D222" s="2"/>
      <c r="F222" s="4"/>
      <c r="G222" t="inlineStr" s="2">
        <is>
          <t xml:space="preserve">Der wissenschaftliche Konsens ordnet sowohl „reine Dampfverfahren“ als auch plasmaunterstützte Systeme der oxidativen Sterilisation zu. Neuere Studien zeigen, dass in beiden Fällen das verdampfte Wasserstoffperoxid selbst der primäre wirksame Faktor ist – nicht der Plasmazustand [21].</t>
        </is>
      </c>
      <c r="H222" t="inlineStr" s="2">
        <is>
          <t xml:space="preserve">Komplexere Systemtechnik: Plasmaerzeugung erhöht die Systemkomplexität und potenziell Wartungskosten [21].</t>
        </is>
      </c>
      <c r="I222" t="inlineStr" s="2">
        <is>
          <t xml:space="preserve">Begrenzte Wirkung von Plasma: Plasma wirkt nur oberflächlich und trägt nicht zur Sterilisation in Lumina bei [21].</t>
        </is>
      </c>
      <c r="J222" s="4"/>
      <c r="K222" s="2"/>
      <c r="L222" t="str" s="3">
        <f>HYPERLINK("https://www.getinge.com/de/news-und-events/neuigkeiten/gesundheitswesen/niedertemperatur-sterilisation-wenn-hitze-keine-option-ist/","/news-und-events/neuigkeiten/gesundheitswesen/niedertemperatur-sterilisation-wenn-hitze-keine-option-ist/")</f>
        <v>/news-und-events/neuigkeiten/gesundheitswesen/niedertemperatur-sterilisation-wenn-hitze-keine-option-ist/</v>
      </c>
    </row>
    <row r="223">
      <c r="A223" s="0">
        <v>222</v>
      </c>
      <c r="B223" t="str" s="3">
        <f>HYPERLINK("https://www.getinge.com/int/insights/updates/healthcare/low-temperature-sterilization-when-heat-is-not-an-option/","/insights/updates/healthcare/low-temperature-sterilization-when-heat-is-not-an-option/")</f>
        <v>/insights/updates/healthcare/low-temperature-sterilization-when-heat-is-not-an-option/</v>
      </c>
      <c r="C223" t="inlineStr" s="2">
        <is>
          <t xml:space="preserve">Material Incompatibility (Absorbents): Neither system type is compatible with cellulose (paper), linens, or liquids, as these materials absorb the hydrogen peroxide oxidant. This absorption reduces the concentration available for sterilization and can lead to cycle cancellations or insufficient sterility assurance levels [22].</t>
        </is>
      </c>
      <c r="D223" s="2"/>
      <c r="F223" s="4"/>
      <c r="G223" t="inlineStr" s="2">
        <is>
          <t xml:space="preserve">Materialeinschränkungen: Nicht geeignet für Zellulose, Textilien oder Flüssigkeiten, da diese das Sterilisationsmittel absorbieren [22].</t>
        </is>
      </c>
      <c r="H223" t="inlineStr" s="2">
        <is>
          <t xml:space="preserve">Aktive Rückstandsreduktion (Plasmaphase): Plasma kann Reststoffe aktiv in Wasser und Sauerstoff zerlegen und so eine sichere Handhabung nach dem Zyklus ermöglichen [22].</t>
        </is>
      </c>
      <c r="I223" t="inlineStr" s="2">
        <is>
          <t xml:space="preserve">Gleichzeitig verändern Fortschritte bei Biomaterialien und Medizintechnik, ein zunehmender Fokus auf Nachhaltigkeit – einschließlich der Reduktion toxischer Sterilisationsmittel wie Ethylenoxid [6] – sowie strengere Anforderungen an Validierung und regulatorische Konformität [6],[11],[8] die Aufbereitung von Medizinprodukten im klinischen Umfeld grundlegend.</t>
        </is>
      </c>
      <c r="J223" s="4"/>
      <c r="K223" s="2"/>
      <c r="L223" t="str" s="3">
        <f>HYPERLINK("https://www.getinge.com/de/news-und-events/neuigkeiten/gesundheitswesen/niedertemperatur-sterilisation-wenn-hitze-keine-option-ist/","/news-und-events/neuigkeiten/gesundheitswesen/niedertemperatur-sterilisation-wenn-hitze-keine-option-ist/")</f>
        <v>/news-und-events/neuigkeiten/gesundheitswesen/niedertemperatur-sterilisation-wenn-hitze-keine-option-ist/</v>
      </c>
    </row>
    <row r="224">
      <c r="A224" s="0">
        <v>223</v>
      </c>
      <c r="B224" t="str" s="3">
        <f>HYPERLINK("https://www.getinge.com/int/insights/updates/healthcare/low-temperature-sterilization-when-heat-is-not-an-option/","/insights/updates/healthcare/low-temperature-sterilization-when-heat-is-not-an-option/")</f>
        <v>/insights/updates/healthcare/low-temperature-sterilization-when-heat-is-not-an-option/</v>
      </c>
      <c r="C224" t="inlineStr" s="2">
        <is>
          <t xml:space="preserve">4. Peracetic‑acid–based systems (PAA)</t>
        </is>
      </c>
      <c r="D224" t="inlineStr" s="2">
        <is>
          <t xml:space="preserve">4. Peressigsäure (PAA)</t>
        </is>
      </c>
      <c r="E224" t="inlineStr" s="0">
        <is>
          <t xml:space="preserve">Low</t>
        </is>
      </c>
      <c r="F224" s="4"/>
      <c r="G224" t="inlineStr" s="2">
        <is>
          <t xml:space="preserve">2. Niedertemperatur-Dampf und Formaldehyd (NTSF)</t>
        </is>
      </c>
      <c r="H224" t="inlineStr" s="2">
        <is>
          <t xml:space="preserve">3. Wasserstoffperoxid (VH₂O₂) und Gasplasma</t>
        </is>
      </c>
      <c r="I224" t="inlineStr" s="2">
        <is>
          <t xml:space="preserve">Aktuelle Entwicklungen in der NTS</t>
        </is>
      </c>
      <c r="J224" s="4"/>
      <c r="K224" s="2"/>
      <c r="L224" t="str" s="3">
        <f>HYPERLINK("https://www.getinge.com/de/news-und-events/neuigkeiten/gesundheitswesen/niedertemperatur-sterilisation-wenn-hitze-keine-option-ist/","/news-und-events/neuigkeiten/gesundheitswesen/niedertemperatur-sterilisation-wenn-hitze-keine-option-ist/")</f>
        <v>/news-und-events/neuigkeiten/gesundheitswesen/niedertemperatur-sterilisation-wenn-hitze-keine-option-ist/</v>
      </c>
    </row>
    <row r="225">
      <c r="A225" s="0">
        <v>224</v>
      </c>
      <c r="B225" t="str" s="3">
        <f>HYPERLINK("https://www.getinge.com/int/insights/updates/healthcare/low-temperature-sterilization-when-heat-is-not-an-option/","/insights/updates/healthcare/low-temperature-sterilization-when-heat-is-not-an-option/")</f>
        <v>/insights/updates/healthcare/low-temperature-sterilization-when-heat-is-not-an-option/</v>
      </c>
      <c r="C225" t="inlineStr" s="2">
        <is>
          <t xml:space="preserve">PAA is primarily used as an immersion sterilant for heat-sensitive endoscopes and provides strong sporicidal activity at room temperature. Liquid immersion systems are FDA-cleared for medical equipment, particularly for the high-level disinfection and sterilization of immersible devices like endoscopes [2],[12]. Vaporized peracetic acid (VPA) remains a technology under development and has not yet received FDA clearance for healthcare facilities [2],[12].</t>
        </is>
      </c>
      <c r="D225" s="2"/>
      <c r="F225" s="4"/>
      <c r="G225" t="inlineStr" s="2">
        <is>
          <t xml:space="preserve">Das System Getinge Poladus 150 wurde kürzlich als VH2O2-NTS-System eingeführt, das bei Temperaturen bis zu 55 °C arbeitet und darauf ausgelegt ist, kurze Zykluszeiten und einen höheren Durchsatz in der Sterilgutaufbereitung zu unterstützen. Sein Prozessdesign sowie die Integration in digitale Workflows und Rückverfolgbarkeitssysteme spiegeln aktuelle Entwicklungen in der NTS wider, die auf höhere Effizienz, strengere Prozesskontrolle und eine stärkere Ausrichtung an regulatorischen Anforderungen abzielen.</t>
        </is>
      </c>
      <c r="H225" t="inlineStr" s="2">
        <is>
          <t xml:space="preserve">Wenn Sie für die Aufbereitung empfindlicher, hitzeempfindlicher Medizinprodukte verantwortlich sind, stellt die Niedertemperatur-Sterilisation keine einzelne Lösung dar. Keine Methode ist zu 100 % optimal, jede hat spezifische Vor- und Nachteile [2]. Die Auswahl hängt von Gerätetyp, Materialverträglichkeit, Lumengeometrie, Durchsatzanforderungen, Arbeitssicherheit, Emissionsvorschriften und wirtschaftlichen Rahmenbedingungen ab.</t>
        </is>
      </c>
      <c r="I225" t="inlineStr" s="2">
        <is>
          <t xml:space="preserve">Die moderne Gesundheitsversorgung ist geprägt von schnellen und kontinuierlichen technologischen Fortschritten. Immer komplexere Systeme und Medizinprodukte werden im klinischen Alltag eingesetzt [1]. Gleichzeitig nimmt weltweit die Zahl invasiver Eingriffe zu – und damit auch das Risiko, pathogene Mikroorganismen über kontaminierte Instrumente zu übertragen [3]. Geräteassoziierte nosokomiale Infektionen gehen mit längeren Krankenhausaufenthalten, einem erhöhten Sepsisrisiko und einer höheren Mortalität auf Intensivstationen einher [14]. Die Sterilisation von Medizinprodukten ist daher ein zentraler Bestandteil der Infektionsprävention im Krankenhaus.</t>
        </is>
      </c>
      <c r="J225" s="4"/>
      <c r="K225" s="2"/>
      <c r="L225" t="str" s="3">
        <f>HYPERLINK("https://www.getinge.com/de/news-und-events/neuigkeiten/gesundheitswesen/niedertemperatur-sterilisation-wenn-hitze-keine-option-ist/","/news-und-events/neuigkeiten/gesundheitswesen/niedertemperatur-sterilisation-wenn-hitze-keine-option-ist/")</f>
        <v>/news-und-events/neuigkeiten/gesundheitswesen/niedertemperatur-sterilisation-wenn-hitze-keine-option-ist/</v>
      </c>
    </row>
    <row r="226">
      <c r="A226" s="0">
        <v>225</v>
      </c>
      <c r="B226" t="str" s="3">
        <f>HYPERLINK("https://www.getinge.com/int/insights/updates/healthcare/low-temperature-sterilization-when-heat-is-not-an-option/","/insights/updates/healthcare/low-temperature-sterilization-when-heat-is-not-an-option/")</f>
        <v>/insights/updates/healthcare/low-temperature-sterilization-when-heat-is-not-an-option/</v>
      </c>
      <c r="C226" t="inlineStr" s="2">
        <is>
          <t xml:space="preserve">Advantages:PAA provides rapid antimicrobial and sporicidal activity and decomposes into acetic acid, water, and oxygen, leaving minimal residue after appropriate rinsing [19],[20].</t>
        </is>
      </c>
      <c r="D226" s="2"/>
      <c r="F226" s="4"/>
      <c r="G226" t="inlineStr" s="2">
        <is>
          <t xml:space="preserve">Vorteile: Schnelle antimikrobielle Wirkung, geringe Rückstände nach Spülung [19],[20].</t>
        </is>
      </c>
      <c r="H226" t="inlineStr" s="2">
        <is>
          <t xml:space="preserve">Die zunehmende Verwendung komplexer, hitze- und feuchtigkeitssensitiver Medizinprodukte schränkt die Anwendbarkeit der Dampfsterilisation ein und erhöht die Bedeutung der Niedertemperatur-Sterilisation (NTS).</t>
        </is>
      </c>
      <c r="I226" t="inlineStr" s="2">
        <is>
          <t xml:space="preserve">Wasserstoffperoxidbasierte NTS-Verfahren sind etabliert für die Aufbereitung hitzeempfindlicher Instrumente und für viele Gerätetypen, einschließlich elektronischer und optischer Komponenten, regulatorisch zugelassen.</t>
        </is>
      </c>
      <c r="J226" s="4"/>
      <c r="K226" s="2"/>
      <c r="L226" t="str" s="3">
        <f>HYPERLINK("https://www.getinge.com/de/news-und-events/neuigkeiten/gesundheitswesen/niedertemperatur-sterilisation-wenn-hitze-keine-option-ist/","/news-und-events/neuigkeiten/gesundheitswesen/niedertemperatur-sterilisation-wenn-hitze-keine-option-ist/")</f>
        <v>/news-und-events/neuigkeiten/gesundheitswesen/niedertemperatur-sterilisation-wenn-hitze-keine-option-ist/</v>
      </c>
    </row>
    <row r="227">
      <c r="A227" s="0">
        <v>226</v>
      </c>
      <c r="B227" t="str" s="3">
        <f>HYPERLINK("https://www.getinge.com/int/insights/updates/healthcare/low-temperature-sterilization-when-heat-is-not-an-option/","/insights/updates/healthcare/low-temperature-sterilization-when-heat-is-not-an-option/")</f>
        <v>/insights/updates/healthcare/low-temperature-sterilization-when-heat-is-not-an-option/</v>
      </c>
      <c r="C227" t="inlineStr" s="2">
        <is>
          <t xml:space="preserve">Disadvantages:The agent can be corrosive to certain metals and materials without proper formulation and neutralization and is limited to fully immersible devices that require prompt use after processing [16],[19].</t>
        </is>
      </c>
      <c r="D227" s="2"/>
      <c r="F227" s="4"/>
      <c r="G227" t="inlineStr" s="2">
        <is>
          <t xml:space="preserve">Die Auswahl eines geeigneten NTS-Verfahrens sollte sich an Gerätedesign und Materialien, Lumengeometrie, Durchsatzanforderungen, Arbeitssicherheitsaspekten, regulatorischen Anforderungen und wirtschaftlichen Faktoren orientieren.</t>
        </is>
      </c>
      <c r="H227" t="inlineStr" s="2">
        <is>
          <t xml:space="preserve">Nachteile: EtO ist toxisch, krebserregend und brennbar [2],[12]. Da das Gas von Materialien absorbiert wird, sind lange Belüftungszeiten erforderlich, wodurch sich Gesamtzykluszeiten von häufig über 12 Stunden ergeben [12],[18],[2].</t>
        </is>
      </c>
      <c r="I227" t="inlineStr" s="2">
        <is>
          <t xml:space="preserve">Nachteile: Kann korrosiv wirken und ist auf vollständig eintauchbare Geräte beschränkt [16],[19].</t>
        </is>
      </c>
      <c r="J227" s="4"/>
      <c r="K227" s="2"/>
      <c r="L227" t="str" s="3">
        <f>HYPERLINK("https://www.getinge.com/de/news-und-events/neuigkeiten/gesundheitswesen/niedertemperatur-sterilisation-wenn-hitze-keine-option-ist/","/news-und-events/neuigkeiten/gesundheitswesen/niedertemperatur-sterilisation-wenn-hitze-keine-option-ist/")</f>
        <v>/news-und-events/neuigkeiten/gesundheitswesen/niedertemperatur-sterilisation-wenn-hitze-keine-option-ist/</v>
      </c>
    </row>
    <row r="228">
      <c r="A228" s="0">
        <v>227</v>
      </c>
      <c r="B228" t="str" s="3">
        <f>HYPERLINK("https://www.getinge.com/int/insights/updates/healthcare/low-temperature-sterilization-when-heat-is-not-an-option/","/insights/updates/healthcare/low-temperature-sterilization-when-heat-is-not-an-option/")</f>
        <v>/insights/updates/healthcare/low-temperature-sterilization-when-heat-is-not-an-option/</v>
      </c>
      <c r="C228" t="inlineStr" s="2">
        <is>
          <t xml:space="preserve">When you are responsible for reprocessing delicate, heat-sensitive medical devices, low-temperature sterilization may be not a single solution. No single method is 100 % optimal, has its specific advantages/disadvantages [2]. The choice depends on device type, material compatibility, lumen design, turnover requirements, worker safety, emissions regulations, and financial situation.</t>
        </is>
      </c>
      <c r="D228" t="inlineStr" s="2">
        <is>
          <t xml:space="preserve">Wenn Sie für die Aufbereitung empfindlicher, hitzeempfindlicher Medizinprodukte verantwortlich sind, stellt die Niedertemperatur-Sterilisation keine einzelne Lösung dar. Keine Methode ist zu 100 % optimal, jede hat spezifische Vor- und Nachteile [2]. Die Auswahl hängt von Gerätetyp, Materialverträglichkeit, Lumengeometrie, Durchsatzanforderungen, Arbeitssicherheit, Emissionsvorschriften und wirtschaftlichen Rahmenbedingungen ab.</t>
        </is>
      </c>
      <c r="E228" t="inlineStr" s="0">
        <is>
          <t xml:space="preserve">High</t>
        </is>
      </c>
      <c r="F228" s="4"/>
      <c r="G228" t="inlineStr" s="2">
        <is>
          <t xml:space="preserve">NTS arbeitet bei deutlich niedrigeren Temperaturen als die Dampfsterilisation (121–134 °C), typischerweise zwischen 37 °C und 60 °C. Dabei kommen chemische Sterilisationsmittel in gasförmiger oder flüssiger Form zum Einsatz, während die Temperatur des Medizinprodukts unter etwa 60 °C bleibt und gleichzeitig ein Sterilitätssicherheitsniveau (SAL) von 10⁻⁶ erreicht wird [2].</t>
        </is>
      </c>
      <c r="H228" t="inlineStr" s="2">
        <is>
          <t xml:space="preserve">Das System Getinge Poladus 150 wurde kürzlich als VH2O2-NTS-System eingeführt, das bei Temperaturen bis zu 55 °C arbeitet und darauf ausgelegt ist, kurze Zykluszeiten und einen höheren Durchsatz in der Sterilgutaufbereitung zu unterstützen. Sein Prozessdesign sowie die Integration in digitale Workflows und Rückverfolgbarkeitssysteme spiegeln aktuelle Entwicklungen in der NTS wider, die auf höhere Effizienz, strengere Prozesskontrolle und eine stärkere Ausrichtung an regulatorischen Anforderungen abzielen.</t>
        </is>
      </c>
      <c r="I228" t="inlineStr" s="2">
        <is>
          <t xml:space="preserve">Das heutige Instrumentarium umfasst zunehmend komplexe und empfindliche Geräte, die beispielsweise in minimalinvasiven oder robotergestützten Verfahren eingesetzt werden. Endoskope, Kameras, 3D-gedruckte Implantate, Ultraschallsonden oder elektronische Sensoren enthalten Polymere, Elastomere, Klebstoffe sowie elektronische und optische Komponenten und weisen komplexe Geometrien auf.</t>
        </is>
      </c>
      <c r="J228" s="4"/>
      <c r="K228" s="2"/>
      <c r="L228" t="str" s="3">
        <f>HYPERLINK("https://www.getinge.com/de/news-und-events/neuigkeiten/gesundheitswesen/niedertemperatur-sterilisation-wenn-hitze-keine-option-ist/","/news-und-events/neuigkeiten/gesundheitswesen/niedertemperatur-sterilisation-wenn-hitze-keine-option-ist/")</f>
        <v>/news-und-events/neuigkeiten/gesundheitswesen/niedertemperatur-sterilisation-wenn-hitze-keine-option-ist/</v>
      </c>
    </row>
    <row r="229">
      <c r="A229" s="0">
        <v>228</v>
      </c>
      <c r="B229" t="str" s="3">
        <f>HYPERLINK("https://www.getinge.com/int/insights/updates/healthcare/low-temperature-sterilization-when-heat-is-not-an-option/","/insights/updates/healthcare/low-temperature-sterilization-when-heat-is-not-an-option/")</f>
        <v>/insights/updates/healthcare/low-temperature-sterilization-when-heat-is-not-an-option/</v>
      </c>
      <c r="C229" t="inlineStr" s="2">
        <is>
          <t xml:space="preserve">Current advances in LTS</t>
        </is>
      </c>
      <c r="D229" s="2"/>
      <c r="F229" s="4"/>
      <c r="G229" t="inlineStr" s="2">
        <is>
          <t xml:space="preserve">Wenn Hitze keine Option ist</t>
        </is>
      </c>
      <c r="H229" t="inlineStr" s="2">
        <is>
          <t xml:space="preserve">Aktuelle Entwicklungen in der NTS</t>
        </is>
      </c>
      <c r="I229" t="inlineStr" s="2">
        <is>
          <t xml:space="preserve">4. Peressigsäure (PAA)</t>
        </is>
      </c>
      <c r="J229" s="4"/>
      <c r="K229" s="2"/>
      <c r="L229" t="str" s="3">
        <f>HYPERLINK("https://www.getinge.com/de/news-und-events/neuigkeiten/gesundheitswesen/niedertemperatur-sterilisation-wenn-hitze-keine-option-ist/","/news-und-events/neuigkeiten/gesundheitswesen/niedertemperatur-sterilisation-wenn-hitze-keine-option-ist/")</f>
        <v>/news-und-events/neuigkeiten/gesundheitswesen/niedertemperatur-sterilisation-wenn-hitze-keine-option-ist/</v>
      </c>
    </row>
    <row r="230">
      <c r="A230" s="0">
        <v>229</v>
      </c>
      <c r="B230" t="str" s="3">
        <f>HYPERLINK("https://www.getinge.com/int/insights/updates/healthcare/low-temperature-sterilization-when-heat-is-not-an-option/","/insights/updates/healthcare/low-temperature-sterilization-when-heat-is-not-an-option/")</f>
        <v>/insights/updates/healthcare/low-temperature-sterilization-when-heat-is-not-an-option/</v>
      </c>
      <c r="C230" t="inlineStr" s="2">
        <is>
          <t xml:space="preserve">The Getinge Poladus 150 was recently introduced as a VH₂O₂ LTS system operating at up to 55 °C, designed to support short cycle times and higher throughput in sterile processing departments. Its process design and integration into digital workflow and traceability systems reflect current developments in LTS toward improved efficiency, tighter process control, and closer alignment with regulatory requirements.</t>
        </is>
      </c>
      <c r="D230" t="inlineStr" s="2">
        <is>
          <t xml:space="preserve">Das System Getinge Poladus 150 wurde kürzlich als VH2O2-NTS-System eingeführt, das bei Temperaturen bis zu 55 °C arbeitet und darauf ausgelegt ist, kurze Zykluszeiten und einen höheren Durchsatz in der Sterilgutaufbereitung zu unterstützen. Sein Prozessdesign sowie die Integration in digitale Workflows und Rückverfolgbarkeitssysteme spiegeln aktuelle Entwicklungen in der NTS wider, die auf höhere Effizienz, strengere Prozesskontrolle und eine stärkere Ausrichtung an regulatorischen Anforderungen abzielen.</t>
        </is>
      </c>
      <c r="E230" t="inlineStr" s="0">
        <is>
          <t xml:space="preserve">High</t>
        </is>
      </c>
      <c r="F230" s="4"/>
      <c r="G230" t="inlineStr" s="2">
        <is>
          <t xml:space="preserve">Wenn Sie für die Aufbereitung empfindlicher, hitzeempfindlicher Medizinprodukte verantwortlich sind, stellt die Niedertemperatur-Sterilisation keine einzelne Lösung dar. Keine Methode ist zu 100 % optimal, jede hat spezifische Vor- und Nachteile [2]. Die Auswahl hängt von Gerätetyp, Materialverträglichkeit, Lumengeometrie, Durchsatzanforderungen, Arbeitssicherheit, Emissionsvorschriften und wirtschaftlichen Rahmenbedingungen ab.</t>
        </is>
      </c>
      <c r="H230" t="inlineStr" s="2">
        <is>
          <t xml:space="preserve">Gleichzeitig verändern Fortschritte bei Biomaterialien und Medizintechnik, ein zunehmender Fokus auf Nachhaltigkeit – einschließlich der Reduktion toxischer Sterilisationsmittel wie Ethylenoxid [6] – sowie strengere Anforderungen an Validierung und regulatorische Konformität [6],[11],[8] die Aufbereitung von Medizinprodukten im klinischen Umfeld grundlegend.</t>
        </is>
      </c>
      <c r="I230" t="inlineStr" s="2">
        <is>
          <t xml:space="preserve">NTS arbeitet bei deutlich niedrigeren Temperaturen als die Dampfsterilisation (121–134 °C), typischerweise zwischen 37 °C und 60 °C. Dabei kommen chemische Sterilisationsmittel in gasförmiger oder flüssiger Form zum Einsatz, während die Temperatur des Medizinprodukts unter etwa 60 °C bleibt und gleichzeitig ein Sterilitätssicherheitsniveau (SAL) von 10⁻⁶ erreicht wird [2].</t>
        </is>
      </c>
      <c r="J230" s="4"/>
      <c r="K230" s="2"/>
      <c r="L230" t="str" s="3">
        <f>HYPERLINK("https://www.getinge.com/de/news-und-events/neuigkeiten/gesundheitswesen/niedertemperatur-sterilisation-wenn-hitze-keine-option-ist/","/news-und-events/neuigkeiten/gesundheitswesen/niedertemperatur-sterilisation-wenn-hitze-keine-option-ist/")</f>
        <v>/news-und-events/neuigkeiten/gesundheitswesen/niedertemperatur-sterilisation-wenn-hitze-keine-option-ist/</v>
      </c>
    </row>
    <row r="231">
      <c r="A231" s="0">
        <v>230</v>
      </c>
      <c r="B231" t="str" s="3">
        <f>HYPERLINK("https://www.getinge.com/int/insights/updates/healthcare/low-temperature-sterilization-when-heat-is-not-an-option/","/insights/updates/healthcare/low-temperature-sterilization-when-heat-is-not-an-option/")</f>
        <v>/insights/updates/healthcare/low-temperature-sterilization-when-heat-is-not-an-option/</v>
      </c>
      <c r="C231" t="inlineStr" s="2">
        <is>
          <t xml:space="preserve">Key messages</t>
        </is>
      </c>
      <c r="D231" s="2"/>
      <c r="F231" s="4"/>
      <c r="G231" t="inlineStr" s="2">
        <is>
          <t xml:space="preserve">Kernaussagen</t>
        </is>
      </c>
      <c r="H231" t="inlineStr" s="2">
        <is>
          <t xml:space="preserve">Nachteile:</t>
        </is>
      </c>
      <c r="I231" t="inlineStr" s="2">
        <is>
          <t xml:space="preserve">Vorteile:</t>
        </is>
      </c>
      <c r="J231" s="4"/>
      <c r="K231" s="2"/>
      <c r="L231" t="str" s="3">
        <f>HYPERLINK("https://www.getinge.com/de/news-und-events/neuigkeiten/gesundheitswesen/niedertemperatur-sterilisation-wenn-hitze-keine-option-ist/","/news-und-events/neuigkeiten/gesundheitswesen/niedertemperatur-sterilisation-wenn-hitze-keine-option-ist/")</f>
        <v>/news-und-events/neuigkeiten/gesundheitswesen/niedertemperatur-sterilisation-wenn-hitze-keine-option-ist/</v>
      </c>
    </row>
    <row r="232">
      <c r="A232" s="0">
        <v>231</v>
      </c>
      <c r="B232" t="str" s="3">
        <f>HYPERLINK("https://www.getinge.com/int/insights/updates/healthcare/low-temperature-sterilization-when-heat-is-not-an-option/","/insights/updates/healthcare/low-temperature-sterilization-when-heat-is-not-an-option/")</f>
        <v>/insights/updates/healthcare/low-temperature-sterilization-when-heat-is-not-an-option/</v>
      </c>
      <c r="C232" t="inlineStr" s="2">
        <is>
          <t xml:space="preserve">Sterilization of medical devices remains a cornerstone of hospital infection control, particularly as device-associated HAIs continue to contribute to morbidity, prolonged hospitalization, and increased mortality in intensive care units.</t>
        </is>
      </c>
      <c r="D232" t="inlineStr" s="2">
        <is>
          <t xml:space="preserve">Die Sterilisation von Medizinprodukten bleibt ein zentraler Bestandteil der Infektionsprävention im Krankenhaus, insbesondere da geräteassoziierte nosokomiale Infektionen weiterhin zu erhöhter Morbidität, längeren Krankenhausaufenthalten und erhöhter Mortalität auf Intensivstationen beitragen.</t>
        </is>
      </c>
      <c r="E232" t="inlineStr" s="0">
        <is>
          <t xml:space="preserve">Medium</t>
        </is>
      </c>
      <c r="F232" s="4"/>
      <c r="G232" t="inlineStr" s="2">
        <is>
          <t xml:space="preserve">Unter den verfügbaren NTS-Verfahren bieten wasserstoffperoxidbasierte Systeme besondere Vorteile hinsichtlich kurzer Zykluszeiten, dem Fehlen toxischer Rückstände und einer geringeren Umwelt- und Arbeitsplatzbelastung im Vergleich zu Ethylenoxid.</t>
        </is>
      </c>
      <c r="H232" t="inlineStr" s="2">
        <is>
          <t xml:space="preserve">Die zunehmende Verwendung komplexer, hitze- und feuchtigkeitssensitiver Medizinprodukte schränkt die Anwendbarkeit der Dampfsterilisation ein und erhöht die Bedeutung der Niedertemperatur-Sterilisation (NTS).</t>
        </is>
      </c>
      <c r="I232" t="inlineStr" s="2">
        <is>
          <t xml:space="preserve">Die Auswahl eines geeigneten NTS-Verfahrens sollte sich an Gerätedesign und Materialien, Lumengeometrie, Durchsatzanforderungen, Arbeitssicherheitsaspekten, regulatorischen Anforderungen und wirtschaftlichen Faktoren orientieren.</t>
        </is>
      </c>
      <c r="J232" s="4"/>
      <c r="K232" s="2"/>
      <c r="L232" t="str" s="3">
        <f>HYPERLINK("https://www.getinge.com/de/news-und-events/neuigkeiten/gesundheitswesen/niedertemperatur-sterilisation-wenn-hitze-keine-option-ist/","/news-und-events/neuigkeiten/gesundheitswesen/niedertemperatur-sterilisation-wenn-hitze-keine-option-ist/")</f>
        <v>/news-und-events/neuigkeiten/gesundheitswesen/niedertemperatur-sterilisation-wenn-hitze-keine-option-ist/</v>
      </c>
    </row>
    <row r="233">
      <c r="A233" s="0">
        <v>232</v>
      </c>
      <c r="B233" t="str" s="3">
        <f>HYPERLINK("https://www.getinge.com/int/insights/updates/healthcare/low-temperature-sterilization-when-heat-is-not-an-option/","/insights/updates/healthcare/low-temperature-sterilization-when-heat-is-not-an-option/")</f>
        <v>/insights/updates/healthcare/low-temperature-sterilization-when-heat-is-not-an-option/</v>
      </c>
      <c r="C233" t="inlineStr" s="2">
        <is>
          <t xml:space="preserve">The growing use of complex, heat- and moisture-sensitive medical devices limits the applicability of conventional steam sterilization and increases reliance on low-temperature sterilization (LTS).</t>
        </is>
      </c>
      <c r="D233" t="inlineStr" s="2">
        <is>
          <t xml:space="preserve">Die zunehmende Verwendung komplexer, hitze- und feuchtigkeitssensitiver Medizinprodukte schränkt die Anwendbarkeit der Dampfsterilisation ein und erhöht die Bedeutung der Niedertemperatur-Sterilisation (NTS).</t>
        </is>
      </c>
      <c r="E233" t="inlineStr" s="0">
        <is>
          <t xml:space="preserve">Medium</t>
        </is>
      </c>
      <c r="F233" s="4"/>
      <c r="G233" t="inlineStr" s="2">
        <is>
          <t xml:space="preserve">Wasserstoffperoxidbasierte NTS-Verfahren sind etabliert für die Aufbereitung hitzeempfindlicher Instrumente und für viele Gerätetypen, einschließlich elektronischer und optischer Komponenten, regulatorisch zugelassen.</t>
        </is>
      </c>
      <c r="H233" t="inlineStr" s="2">
        <is>
          <t xml:space="preserve">Die Auswahl eines geeigneten NTS-Verfahrens sollte sich an Gerätedesign und Materialien, Lumengeometrie, Durchsatzanforderungen, Arbeitssicherheitsaspekten, regulatorischen Anforderungen und wirtschaftlichen Faktoren orientieren.</t>
        </is>
      </c>
      <c r="I233" t="inlineStr" s="2">
        <is>
          <t xml:space="preserve">Keine einzelne NTS-Methode ist universell optimal. Ethylenoxid, wasserstoffperoxidbasierte Systeme, Niedertemperatur-Dampf und Formaldehyd sowie Peressigsäure haben jeweils spezifische Vor- und Nachteile.</t>
        </is>
      </c>
      <c r="J233" s="4"/>
      <c r="K233" t="inlineStr" s="2">
        <is>
          <t xml:space="preserve">protected-token-mismatch: missing in target: LTS</t>
        </is>
      </c>
      <c r="L233" t="str" s="3">
        <f>HYPERLINK("https://www.getinge.com/de/news-und-events/neuigkeiten/gesundheitswesen/niedertemperatur-sterilisation-wenn-hitze-keine-option-ist/","/news-und-events/neuigkeiten/gesundheitswesen/niedertemperatur-sterilisation-wenn-hitze-keine-option-ist/")</f>
        <v>/news-und-events/neuigkeiten/gesundheitswesen/niedertemperatur-sterilisation-wenn-hitze-keine-option-ist/</v>
      </c>
    </row>
    <row r="234">
      <c r="A234" s="0">
        <v>233</v>
      </c>
      <c r="B234" t="str" s="3">
        <f>HYPERLINK("https://www.getinge.com/int/insights/updates/healthcare/low-temperature-sterilization-when-heat-is-not-an-option/","/insights/updates/healthcare/low-temperature-sterilization-when-heat-is-not-an-option/")</f>
        <v>/insights/updates/healthcare/low-temperature-sterilization-when-heat-is-not-an-option/</v>
      </c>
      <c r="C234" t="inlineStr" s="2">
        <is>
          <t xml:space="preserve">LTS enables effective reprocessing of delicate devices at temperatures between 37 °C and 60 °C while achieving a sterility assurance level of 10⁻⁶.</t>
        </is>
      </c>
      <c r="D234" t="inlineStr" s="2">
        <is>
          <t xml:space="preserve">NTS ermöglicht die effektive Aufbereitung empfindlicher Medizinprodukte bei Temperaturen zwischen 37 °C und 60 °C und erreicht dabei ein Sterilitätssicherheitsniveau von 10⁻⁶.</t>
        </is>
      </c>
      <c r="E234" t="inlineStr" s="0">
        <is>
          <t xml:space="preserve">High</t>
        </is>
      </c>
      <c r="F234" s="4"/>
      <c r="G234" t="inlineStr" s="2">
        <is>
          <t xml:space="preserve">Vorteile: Gute Penetration, kurze Zykluszeiten [3], gute Materialverträglichkeit, wirtschaftlicher Betrieb sowie Sterilisation in Verpackungen oder Containern möglich [1].</t>
        </is>
      </c>
      <c r="H234" t="inlineStr" s="2">
        <is>
          <t xml:space="preserve">Aktive Rückstandsreduktion (Plasmaphase): Plasma kann Reststoffe aktiv in Wasser und Sauerstoff zerlegen und so eine sichere Handhabung nach dem Zyklus ermöglichen [22].</t>
        </is>
      </c>
      <c r="I234" t="inlineStr" s="2">
        <is>
          <t xml:space="preserve">Materialeinschränkungen: Nicht geeignet für Zellulose, Textilien oder Flüssigkeiten, da diese das Sterilisationsmittel absorbieren [22].</t>
        </is>
      </c>
      <c r="J234" s="4"/>
      <c r="K234" s="2"/>
      <c r="L234" t="str" s="3">
        <f>HYPERLINK("https://www.getinge.com/de/news-und-events/neuigkeiten/gesundheitswesen/niedertemperatur-sterilisation-wenn-hitze-keine-option-ist/","/news-und-events/neuigkeiten/gesundheitswesen/niedertemperatur-sterilisation-wenn-hitze-keine-option-ist/")</f>
        <v>/news-und-events/neuigkeiten/gesundheitswesen/niedertemperatur-sterilisation-wenn-hitze-keine-option-ist/</v>
      </c>
    </row>
    <row r="235">
      <c r="A235" s="0">
        <v>234</v>
      </c>
      <c r="B235" t="str" s="3">
        <f>HYPERLINK("https://www.getinge.com/int/insights/updates/healthcare/low-temperature-sterilization-when-heat-is-not-an-option/","/insights/updates/healthcare/low-temperature-sterilization-when-heat-is-not-an-option/")</f>
        <v>/insights/updates/healthcare/low-temperature-sterilization-when-heat-is-not-an-option/</v>
      </c>
      <c r="C235" t="inlineStr" s="2">
        <is>
          <t xml:space="preserve">No single LTS method is universally optimal. Ethylene oxide, hydrogen peroxide–based systems, low-temperature steam and formaldehyde, and peracetic acid each have distinct advantages and limitations.</t>
        </is>
      </c>
      <c r="D235" t="inlineStr" s="2">
        <is>
          <t xml:space="preserve">Keine einzelne NTS-Methode ist universell optimal. Ethylenoxid, wasserstoffperoxidbasierte Systeme, Niedertemperatur-Dampf und Formaldehyd sowie Peressigsäure haben jeweils spezifische Vor- und Nachteile.</t>
        </is>
      </c>
      <c r="E235" t="inlineStr" s="0">
        <is>
          <t xml:space="preserve">Medium</t>
        </is>
      </c>
      <c r="F235" s="4"/>
      <c r="G235" t="inlineStr" s="2">
        <is>
          <t xml:space="preserve">Unter den verfügbaren NTS-Verfahren bieten wasserstoffperoxidbasierte Systeme besondere Vorteile hinsichtlich kurzer Zykluszeiten, dem Fehlen toxischer Rückstände und einer geringeren Umwelt- und Arbeitsplatzbelastung im Vergleich zu Ethylenoxid.</t>
        </is>
      </c>
      <c r="H235" t="inlineStr" s="2">
        <is>
          <t xml:space="preserve">Wasserstoffperoxidbasierte NTS-Verfahren sind etabliert für die Aufbereitung hitzeempfindlicher Instrumente und für viele Gerätetypen, einschließlich elektronischer und optischer Komponenten, regulatorisch zugelassen.</t>
        </is>
      </c>
      <c r="I235" t="inlineStr" s="2">
        <is>
          <t xml:space="preserve">Die zunehmende Verwendung komplexer, hitze- und feuchtigkeitssensitiver Medizinprodukte schränkt die Anwendbarkeit der Dampfsterilisation ein und erhöht die Bedeutung der Niedertemperatur-Sterilisation (NTS).</t>
        </is>
      </c>
      <c r="J235" s="4"/>
      <c r="K235" s="2"/>
      <c r="L235" t="str" s="3">
        <f>HYPERLINK("https://www.getinge.com/de/news-und-events/neuigkeiten/gesundheitswesen/niedertemperatur-sterilisation-wenn-hitze-keine-option-ist/","/news-und-events/neuigkeiten/gesundheitswesen/niedertemperatur-sterilisation-wenn-hitze-keine-option-ist/")</f>
        <v>/news-und-events/neuigkeiten/gesundheitswesen/niedertemperatur-sterilisation-wenn-hitze-keine-option-ist/</v>
      </c>
    </row>
    <row r="236">
      <c r="A236" s="0">
        <v>235</v>
      </c>
      <c r="B236" t="str" s="3">
        <f>HYPERLINK("https://www.getinge.com/int/insights/updates/healthcare/low-temperature-sterilization-when-heat-is-not-an-option/","/insights/updates/healthcare/low-temperature-sterilization-when-heat-is-not-an-option/")</f>
        <v>/insights/updates/healthcare/low-temperature-sterilization-when-heat-is-not-an-option/</v>
      </c>
      <c r="C236" t="inlineStr" s="2">
        <is>
          <t xml:space="preserve">Among available LTS modalities, hydrogen peroxide–based systems offer particular advantages in terms of short cycle times, absence of toxic residues, and reduced environmental and occupational exposure compared with ethylene oxide.</t>
        </is>
      </c>
      <c r="D236" t="inlineStr" s="2">
        <is>
          <t xml:space="preserve">Unter den verfügbaren NTS-Verfahren bieten wasserstoffperoxidbasierte Systeme besondere Vorteile hinsichtlich kurzer Zykluszeiten, dem Fehlen toxischer Rückstände und einer geringeren Umwelt- und Arbeitsplatzbelastung im Vergleich zu Ethylenoxid.</t>
        </is>
      </c>
      <c r="E236" t="inlineStr" s="0">
        <is>
          <t xml:space="preserve">Medium</t>
        </is>
      </c>
      <c r="F236" s="4"/>
      <c r="G236" t="inlineStr" s="2">
        <is>
          <t xml:space="preserve">Wasserstoffperoxidbasierte NTS-Verfahren sind etabliert für die Aufbereitung hitzeempfindlicher Instrumente und für viele Gerätetypen, einschließlich elektronischer und optischer Komponenten, regulatorisch zugelassen.</t>
        </is>
      </c>
      <c r="H236" t="inlineStr" s="2">
        <is>
          <t xml:space="preserve">Keine einzelne NTS-Methode ist universell optimal. Ethylenoxid, wasserstoffperoxidbasierte Systeme, Niedertemperatur-Dampf und Formaldehyd sowie Peressigsäure haben jeweils spezifische Vor- und Nachteile.</t>
        </is>
      </c>
      <c r="I236" t="inlineStr" s="2">
        <is>
          <t xml:space="preserve">Die Sterilisation von Medizinprodukten bleibt ein zentraler Bestandteil der Infektionsprävention im Krankenhaus, insbesondere da geräteassoziierte nosokomiale Infektionen weiterhin zu erhöhter Morbidität, längeren Krankenhausaufenthalten und erhöhter Mortalität auf Intensivstationen beitragen.</t>
        </is>
      </c>
      <c r="J236" s="4"/>
      <c r="K236" s="2"/>
      <c r="L236" t="str" s="3">
        <f>HYPERLINK("https://www.getinge.com/de/news-und-events/neuigkeiten/gesundheitswesen/niedertemperatur-sterilisation-wenn-hitze-keine-option-ist/","/news-und-events/neuigkeiten/gesundheitswesen/niedertemperatur-sterilisation-wenn-hitze-keine-option-ist/")</f>
        <v>/news-und-events/neuigkeiten/gesundheitswesen/niedertemperatur-sterilisation-wenn-hitze-keine-option-ist/</v>
      </c>
    </row>
    <row r="237">
      <c r="A237" s="0">
        <v>236</v>
      </c>
      <c r="B237" t="str" s="3">
        <f>HYPERLINK("https://www.getinge.com/int/insights/updates/healthcare/low-temperature-sterilization-when-heat-is-not-an-option/","/insights/updates/healthcare/low-temperature-sterilization-when-heat-is-not-an-option/")</f>
        <v>/insights/updates/healthcare/low-temperature-sterilization-when-heat-is-not-an-option/</v>
      </c>
      <c r="C237" t="inlineStr" s="2">
        <is>
          <t xml:space="preserve">Hydrogen peroxide–based LTS is widely established for reprocessing heat-sensitive instruments and is supported by regulatory clearance for many device types, including electronics and optical components.</t>
        </is>
      </c>
      <c r="D237" t="inlineStr" s="2">
        <is>
          <t xml:space="preserve">Wasserstoffperoxidbasierte NTS-Verfahren sind etabliert für die Aufbereitung hitzeempfindlicher Instrumente und für viele Gerätetypen, einschließlich elektronischer und optischer Komponenten, regulatorisch zugelassen.</t>
        </is>
      </c>
      <c r="E237" t="inlineStr" s="0">
        <is>
          <t xml:space="preserve">Medium</t>
        </is>
      </c>
      <c r="F237" s="4"/>
      <c r="G237" t="inlineStr" s="2">
        <is>
          <t xml:space="preserve">Die Auswahl eines geeigneten NTS-Verfahrens sollte sich an Gerätedesign und Materialien, Lumengeometrie, Durchsatzanforderungen, Arbeitssicherheitsaspekten, regulatorischen Anforderungen und wirtschaftlichen Faktoren orientieren.</t>
        </is>
      </c>
      <c r="H237" t="inlineStr" s="2">
        <is>
          <t xml:space="preserve">Die zunehmende Verwendung komplexer, hitze- und feuchtigkeitssensitiver Medizinprodukte schränkt die Anwendbarkeit der Dampfsterilisation ein und erhöht die Bedeutung der Niedertemperatur-Sterilisation (NTS).</t>
        </is>
      </c>
      <c r="I237" t="inlineStr" s="2">
        <is>
          <t xml:space="preserve">Keine einzelne NTS-Methode ist universell optimal. Ethylenoxid, wasserstoffperoxidbasierte Systeme, Niedertemperatur-Dampf und Formaldehyd sowie Peressigsäure haben jeweils spezifische Vor- und Nachteile.</t>
        </is>
      </c>
      <c r="J237" s="4"/>
      <c r="K237" s="2"/>
      <c r="L237" t="str" s="3">
        <f>HYPERLINK("https://www.getinge.com/de/news-und-events/neuigkeiten/gesundheitswesen/niedertemperatur-sterilisation-wenn-hitze-keine-option-ist/","/news-und-events/neuigkeiten/gesundheitswesen/niedertemperatur-sterilisation-wenn-hitze-keine-option-ist/")</f>
        <v>/news-und-events/neuigkeiten/gesundheitswesen/niedertemperatur-sterilisation-wenn-hitze-keine-option-ist/</v>
      </c>
    </row>
    <row r="238">
      <c r="A238" s="0">
        <v>237</v>
      </c>
      <c r="B238" t="str" s="3">
        <f>HYPERLINK("https://www.getinge.com/int/insights/updates/healthcare/low-temperature-sterilization-when-heat-is-not-an-option/","/insights/updates/healthcare/low-temperature-sterilization-when-heat-is-not-an-option/")</f>
        <v>/insights/updates/healthcare/low-temperature-sterilization-when-heat-is-not-an-option/</v>
      </c>
      <c r="C238" t="inlineStr" s="2">
        <is>
          <t xml:space="preserve">Selection of an appropriate LTS modality should be guided by device design and materials, lumen complexity, turnaround requirements, worker safety considerations, regulatory requirements, and economic factors.</t>
        </is>
      </c>
      <c r="D238" t="inlineStr" s="2">
        <is>
          <t xml:space="preserve">Die Auswahl eines geeigneten NTS-Verfahrens sollte sich an Gerätedesign und Materialien, Lumengeometrie, Durchsatzanforderungen, Arbeitssicherheitsaspekten, regulatorischen Anforderungen und wirtschaftlichen Faktoren orientieren.</t>
        </is>
      </c>
      <c r="E238" t="inlineStr" s="0">
        <is>
          <t xml:space="preserve">Medium</t>
        </is>
      </c>
      <c r="F238" s="4"/>
      <c r="G238" t="inlineStr" s="2">
        <is>
          <t xml:space="preserve">Wasserstoffperoxidbasierte NTS-Verfahren sind etabliert für die Aufbereitung hitzeempfindlicher Instrumente und für viele Gerätetypen, einschließlich elektronischer und optischer Komponenten, regulatorisch zugelassen.</t>
        </is>
      </c>
      <c r="H238" t="inlineStr" s="2">
        <is>
          <t xml:space="preserve">Die zunehmende Verwendung komplexer, hitze- und feuchtigkeitssensitiver Medizinprodukte schränkt die Anwendbarkeit der Dampfsterilisation ein und erhöht die Bedeutung der Niedertemperatur-Sterilisation (NTS).</t>
        </is>
      </c>
      <c r="I238" t="inlineStr" s="2">
        <is>
          <t xml:space="preserve">Unter den verfügbaren NTS-Verfahren bieten wasserstoffperoxidbasierte Systeme besondere Vorteile hinsichtlich kurzer Zykluszeiten, dem Fehlen toxischer Rückstände und einer geringeren Umwelt- und Arbeitsplatzbelastung im Vergleich zu Ethylenoxid.</t>
        </is>
      </c>
      <c r="J238" s="4"/>
      <c r="K238" s="2"/>
      <c r="L238" t="str" s="3">
        <f>HYPERLINK("https://www.getinge.com/de/news-und-events/neuigkeiten/gesundheitswesen/niedertemperatur-sterilisation-wenn-hitze-keine-option-ist/","/news-und-events/neuigkeiten/gesundheitswesen/niedertemperatur-sterilisation-wenn-hitze-keine-option-ist/")</f>
        <v>/news-und-events/neuigkeiten/gesundheitswesen/niedertemperatur-sterilisation-wenn-hitze-keine-option-ist/</v>
      </c>
    </row>
    <row r="239">
      <c r="A239" s="0">
        <v>238</v>
      </c>
      <c r="B239" t="str" s="3">
        <f>HYPERLINK("https://www.getinge.com/int/insights/updates/healthcare/maintenance-strategy-in-focus/","/insights/updates/healthcare/maintenance-strategy-in-focus/")</f>
        <v>/insights/updates/healthcare/maintenance-strategy-in-focus/</v>
      </c>
      <c r="C239" t="inlineStr" s="2">
        <is>
          <t xml:space="preserve">What are the benefits?</t>
        </is>
      </c>
      <c r="D239" s="2"/>
      <c r="F239" s="4"/>
      <c r="G239" t="inlineStr" s="2">
        <is>
          <t xml:space="preserve">Welche Vorteile bringt das?</t>
        </is>
      </c>
      <c r="H239" s="2"/>
      <c r="I239" s="2"/>
      <c r="J239" s="4"/>
      <c r="K239" s="2"/>
      <c r="L239" t="str" s="3">
        <f>HYPERLINK("https://www.getinge.com/de/news-und-events/neuigkeiten/gesundheitswesen/wartungsstrategie-im-fokus/","/news-und-events/neuigkeiten/gesundheitswesen/wartungsstrategie-im-fokus/")</f>
        <v>/news-und-events/neuigkeiten/gesundheitswesen/wartungsstrategie-im-fokus/</v>
      </c>
    </row>
    <row r="240">
      <c r="A240" s="0">
        <v>239</v>
      </c>
      <c r="B240" t="str" s="3">
        <f>HYPERLINK("https://www.getinge.com/int/insights/updates/healthcare/maintenance-strategy-in-focus/","/insights/updates/healthcare/maintenance-strategy-in-focus/")</f>
        <v>/insights/updates/healthcare/maintenance-strategy-in-focus/</v>
      </c>
      <c r="C240" t="inlineStr" s="2">
        <is>
          <t xml:space="preserve">With the right maintenance strategy, failures can be prevented before they occur. A handful of good reasons for proactive maintenance.</t>
        </is>
      </c>
      <c r="D240" t="inlineStr" s="2">
        <is>
          <t xml:space="preserve">Mit der richtigen Wartungsstrategie lassen sich Ausfälle verhindern, bevor sie entstehen. Gute Gründe für eine proaktive Instandhaltung.</t>
        </is>
      </c>
      <c r="E240" t="inlineStr" s="0">
        <is>
          <t xml:space="preserve">Low</t>
        </is>
      </c>
      <c r="F240" s="4"/>
      <c r="G240" t="inlineStr" s="2">
        <is>
          <t xml:space="preserve">Strategien und Maßnahmen, die die Einsatzbereitschaft medizintechnischer Geräte bestmöglich sicherstellen, sind daher essenziell. Doch worauf kommt es dabei an?</t>
        </is>
      </c>
      <c r="H240" t="inlineStr" s="2">
        <is>
          <t xml:space="preserve">Proaktive Wartungsstrategien reduzieren Ausfälle, maximieren die Betriebszeit medizintechnischer Geräte und können Krankenhäusern langfristig dabei helfen, Kosten zu sparen.</t>
        </is>
      </c>
      <c r="I240" t="inlineStr" s="2">
        <is>
          <t xml:space="preserve">Besonders effizient ist dabei die vorausschauende Wartung – beispielsweise in Kombination mit einem passenden Servicevertrag von Getinge.</t>
        </is>
      </c>
      <c r="J240" s="4"/>
      <c r="K240" s="2"/>
      <c r="L240" t="str" s="3">
        <f>HYPERLINK("https://www.getinge.com/de/news-und-events/neuigkeiten/gesundheitswesen/wartungsstrategie-im-fokus/","/news-und-events/neuigkeiten/gesundheitswesen/wartungsstrategie-im-fokus/")</f>
        <v>/news-und-events/neuigkeiten/gesundheitswesen/wartungsstrategie-im-fokus/</v>
      </c>
    </row>
    <row r="241">
      <c r="A241" s="0">
        <v>240</v>
      </c>
      <c r="B241" t="str" s="3">
        <f>HYPERLINK("https://www.getinge.com/int/insights/updates/healthcare/maintenance-strategy-in-focus/","/insights/updates/healthcare/maintenance-strategy-in-focus/")</f>
        <v>/insights/updates/healthcare/maintenance-strategy-in-focus/</v>
      </c>
      <c r="C241" t="inlineStr" s="2">
        <is>
          <t xml:space="preserve">Addressing key challenges: Minimizing downtime and budget risks</t>
        </is>
      </c>
      <c r="D241" t="inlineStr" s="2">
        <is>
          <t xml:space="preserve">Zentrale Herausforderungen meistern: Ausfallzeiten und Budgetrisiken minimieren</t>
        </is>
      </c>
      <c r="E241" t="inlineStr" s="0">
        <is>
          <t xml:space="preserve">Medium</t>
        </is>
      </c>
      <c r="F241" s="4"/>
      <c r="G241" t="inlineStr" s="2">
        <is>
          <t xml:space="preserve">Mehr Sicherheit, Wirtschaftlichkeit und verbesserte Compliance</t>
        </is>
      </c>
      <c r="H241" t="inlineStr" s="2">
        <is>
          <t xml:space="preserve">Fazit: Maximale Verfügbarkeit durch proaktive Services</t>
        </is>
      </c>
      <c r="I241" t="inlineStr" s="2">
        <is>
          <t xml:space="preserve">„Serviceverträge müssen beide Herausforderungen adressieren und Lösungen bieten, um sowohl Ausfallzeiten als auch Budgetrisiken zu minimieren“, erklärt Duane Hawkins, Service-Experte bei Getinge.</t>
        </is>
      </c>
      <c r="J241" s="4"/>
      <c r="K241" s="2"/>
      <c r="L241" t="str" s="3">
        <f>HYPERLINK("https://www.getinge.com/de/news-und-events/neuigkeiten/gesundheitswesen/wartungsstrategie-im-fokus/","/news-und-events/neuigkeiten/gesundheitswesen/wartungsstrategie-im-fokus/")</f>
        <v>/news-und-events/neuigkeiten/gesundheitswesen/wartungsstrategie-im-fokus/</v>
      </c>
    </row>
    <row r="242">
      <c r="A242" s="0">
        <v>241</v>
      </c>
      <c r="B242" t="str" s="3">
        <f>HYPERLINK("https://www.getinge.com/int/insights/updates/healthcare/maintenance-strategy-in-focus/","/insights/updates/healthcare/maintenance-strategy-in-focus/")</f>
        <v>/insights/updates/healthcare/maintenance-strategy-in-focus/</v>
      </c>
      <c r="C242" t="inlineStr" s="2">
        <is>
          <t xml:space="preserve">Enhanced safety, cost-effectiveness &amp; improved compliance</t>
        </is>
      </c>
      <c r="D242" t="inlineStr" s="2">
        <is>
          <t xml:space="preserve">Mehr Sicherheit, Wirtschaftlichkeit und verbesserte Compliance</t>
        </is>
      </c>
      <c r="E242" t="inlineStr" s="0">
        <is>
          <t xml:space="preserve">Medium</t>
        </is>
      </c>
      <c r="F242" s="4"/>
      <c r="G242" t="inlineStr" s="2">
        <is>
          <t xml:space="preserve">Zentrale Herausforderungen meistern: Ausfallzeiten und Budgetrisiken minimieren</t>
        </is>
      </c>
      <c r="H242" t="inlineStr" s="2">
        <is>
          <t xml:space="preserve">Fazit: Maximale Verfügbarkeit durch proaktive Services</t>
        </is>
      </c>
      <c r="I242" t="inlineStr" s="2">
        <is>
          <t xml:space="preserve">Proaktive Wartungsstrategien reduzieren Ausfälle, maximieren die Betriebszeit medizintechnischer Geräte und können Krankenhäusern langfristig dabei helfen, Kosten zu sparen.</t>
        </is>
      </c>
      <c r="J242" s="4"/>
      <c r="K242" s="2"/>
      <c r="L242" t="str" s="3">
        <f>HYPERLINK("https://www.getinge.com/de/news-und-events/neuigkeiten/gesundheitswesen/wartungsstrategie-im-fokus/","/news-und-events/neuigkeiten/gesundheitswesen/wartungsstrategie-im-fokus/")</f>
        <v>/news-und-events/neuigkeiten/gesundheitswesen/wartungsstrategie-im-fokus/</v>
      </c>
    </row>
    <row r="243">
      <c r="A243" s="0">
        <v>242</v>
      </c>
      <c r="B243" t="str" s="3">
        <f>HYPERLINK("https://www.getinge.com/int/insights/updates/healthcare/maintenance-strategy-in-focus/","/insights/updates/healthcare/maintenance-strategy-in-focus/")</f>
        <v>/insights/updates/healthcare/maintenance-strategy-in-focus/</v>
      </c>
      <c r="C243" t="inlineStr" s="2">
        <is>
          <t xml:space="preserve">A comparative analysis from 2021 shows that a predominantly proactive maintenance strategy led to 52.7% fewer unplanned downtime events and 78.5% fewer failures compared to a predominantly reactive maintenance strategy [1].</t>
        </is>
      </c>
      <c r="D243" t="inlineStr" s="2">
        <is>
          <t xml:space="preserve">Eine Vergleichsanalyse aus dem Jahr 2021 zeigt, dass eine überwiegend proaktive Wartungsstrategie zu 52,7 % weniger ungeplanten Ausfallzeiten und 78,5 % weniger Defekten führte als eine überwiegend reaktive Wartungsstrategie [1].</t>
        </is>
      </c>
      <c r="E243" t="inlineStr" s="0">
        <is>
          <t xml:space="preserve">High</t>
        </is>
      </c>
      <c r="F243" s="4"/>
      <c r="G243" t="inlineStr" s="2">
        <is>
          <t xml:space="preserve">In Zeiten begrenzter Ressourcen und gleichzeitig steigender Anforderungen im klinischen Alltag gewinnt die Predictive Maintenance daher zunehmend an Bedeutung – als wichtiger Faktor für die Sicherheit, Effizienz und Zukunftsfähigkeit von Krankenhäusern.</t>
        </is>
      </c>
      <c r="H243" t="inlineStr" s="2">
        <is>
          <t xml:space="preserve">Dies hilft dabei, Fehler frühzeitig zu erkennen, den Wartungs- und Reparaturbedarf besser vorherzusagen und somit die Planbarkeit zu erhöhen. Gleichzeitig kann der Umfang notwendiger Reparaturen reduziert werden, sodass Krankenhäuser möglichst lange ohne Geräteausfälle arbeiten können.</t>
        </is>
      </c>
      <c r="I243" t="inlineStr" s="2">
        <is>
          <t xml:space="preserve">Laut der Vergleichsanalyse führt eine überwiegend vorausschauende Wartungsstrategie zu 18,5 % weniger ungeplanten Ausfallzeiten und 87,3 % weniger Defekten als eine rein präventive Wartung [1].</t>
        </is>
      </c>
      <c r="J243" s="4"/>
      <c r="K243" s="2"/>
      <c r="L243" t="str" s="3">
        <f>HYPERLINK("https://www.getinge.com/de/news-und-events/neuigkeiten/gesundheitswesen/wartungsstrategie-im-fokus/","/news-und-events/neuigkeiten/gesundheitswesen/wartungsstrategie-im-fokus/")</f>
        <v>/news-und-events/neuigkeiten/gesundheitswesen/wartungsstrategie-im-fokus/</v>
      </c>
    </row>
    <row r="244">
      <c r="A244" s="0">
        <v>243</v>
      </c>
      <c r="B244" t="str" s="3">
        <f>HYPERLINK("https://www.getinge.com/int/insights/updates/healthcare/maintenance-strategy-in-focus/","/insights/updates/healthcare/maintenance-strategy-in-focus/")</f>
        <v>/insights/updates/healthcare/maintenance-strategy-in-focus/</v>
      </c>
      <c r="C244" t="inlineStr" s="2">
        <is>
          <t xml:space="preserve">Proactive maintenance and servicing options include both preventive maintenance, which is performed at defined intervals, and predictive maintenance, which goes one step further. Predictive maintenance makes it possible to identify potential problems at an early stage and predict when a failure is likely to occur – before it actually happens.</t>
        </is>
      </c>
      <c r="D244" t="inlineStr" s="2">
        <is>
          <t xml:space="preserve">Zu den proaktiven Wartungsansätzen zählen sowohl die präventive Wartung (Preventive Maintenance), die in festgelegten Intervallen durchgeführt wird, als auch die vorausschauende Wartung (Predictive Maintenance), die einen Schritt weitergeht. Sie ermöglicht es, potenzielle Probleme frühzeitig zu erkennen und vorherzusagen, wann ein Ausfall wahrscheinlich eintreten wird – bevor er tatsächlich passiert.</t>
        </is>
      </c>
      <c r="E244" t="inlineStr" s="0">
        <is>
          <t xml:space="preserve">Medium</t>
        </is>
      </c>
      <c r="F244" s="4"/>
      <c r="G244" t="inlineStr" s="2">
        <is>
          <t xml:space="preserve">Im Gegensatz zu intervallbasierten Wartungsstrategien basiert die Predictive Maintenance auf einer kontinuierlichen Echtzeitüberwachung des Gerätezustands mithilfe intelligenter Technologien – beispielsweise mit der Getinge-Lösung FleetView. Dadurch können Verschleißerscheinungen frühzeitig erkannt und ungeplante Reparaturen sowie Ausfallzeiten minimiert werden. Gleichzeitig unterstützt dieser Ansatz die Einhaltung regulatorischer Anforderungen an die Gerätesicherheit.</t>
        </is>
      </c>
      <c r="H244" t="inlineStr" s="2">
        <is>
          <t xml:space="preserve">Krankenhäuser berichten immer wieder von zwei zentralen Herausforderungen. Zum einen stellen Ausfallzeiten die größte operative Schwachstelle dar, da sie Teams, Planungen und den Patientendurchsatz beeinträchtigen. Zum anderen besteht Unsicherheit bei der Budgetplanung. Ungeplante, reaktive Reparaturen infolge plötzlicher Defekte führen zu schwer kalkulierbaren Kosten.</t>
        </is>
      </c>
      <c r="I244" t="inlineStr" s="2">
        <is>
          <t xml:space="preserve">Darüber hinaus können die Zeiträume zwischen Betriebsausfällen verlängert, Wartungsintervalle bedarfsgerecht angepasst und die Lebensdauer von Geräten maximiert werden. Eine nachhaltige und gezielte Wartungs- und Ersatzteilplanung trägt dazu bei, langfristig Kosten zu senken und die Effizienz bestehender Investitionen zu steigern.</t>
        </is>
      </c>
      <c r="J244" s="4"/>
      <c r="K244" s="2"/>
      <c r="L244" t="str" s="3">
        <f>HYPERLINK("https://www.getinge.com/de/news-und-events/neuigkeiten/gesundheitswesen/wartungsstrategie-im-fokus/","/news-und-events/neuigkeiten/gesundheitswesen/wartungsstrategie-im-fokus/")</f>
        <v>/news-und-events/neuigkeiten/gesundheitswesen/wartungsstrategie-im-fokus/</v>
      </c>
    </row>
    <row r="245">
      <c r="A245" s="0">
        <v>244</v>
      </c>
      <c r="B245" t="str" s="3">
        <f>HYPERLINK("https://www.getinge.com/int/insights/updates/healthcare/maintenance-strategy-in-focus/","/insights/updates/healthcare/maintenance-strategy-in-focus/")</f>
        <v>/insights/updates/healthcare/maintenance-strategy-in-focus/</v>
      </c>
      <c r="C245" t="inlineStr" s="2">
        <is>
          <t xml:space="preserve">Unlike interval-based maintenance strategies, predictive maintenance relies on continuous real-time condition monitoring of equipment using intelligent technologies, as an example Getinge’s Fleetview solution. This allows wear to be detected early and helps minimize unplanned repairs and downtime. Among other benefits, this supports compliance with regulatory requirements for device safety.</t>
        </is>
      </c>
      <c r="D245" t="inlineStr" s="2">
        <is>
          <t xml:space="preserve">Im Gegensatz zu intervallbasierten Wartungsstrategien basiert die Predictive Maintenance auf einer kontinuierlichen Echtzeitüberwachung des Gerätezustands mithilfe intelligenter Technologien – beispielsweise mit der Getinge-Lösung FleetView. Dadurch können Verschleißerscheinungen frühzeitig erkannt und ungeplante Reparaturen sowie Ausfallzeiten minimiert werden. Gleichzeitig unterstützt dieser Ansatz die Einhaltung regulatorischer Anforderungen an die Gerätesicherheit.</t>
        </is>
      </c>
      <c r="E245" t="inlineStr" s="0">
        <is>
          <t xml:space="preserve">Medium</t>
        </is>
      </c>
      <c r="F245" s="4"/>
      <c r="G245" t="inlineStr" s="2">
        <is>
          <t xml:space="preserve">Zu den proaktiven Wartungsansätzen zählen sowohl die präventive Wartung (Preventive Maintenance), die in festgelegten Intervallen durchgeführt wird, als auch die vorausschauende Wartung (Predictive Maintenance), die einen Schritt weitergeht. Sie ermöglicht es, potenzielle Probleme frühzeitig zu erkennen und vorherzusagen, wann ein Ausfall wahrscheinlich eintreten wird – bevor er tatsächlich passiert.</t>
        </is>
      </c>
      <c r="H245" t="inlineStr" s="2">
        <is>
          <t xml:space="preserve">Krankenhäuser berichten immer wieder von zwei zentralen Herausforderungen. Zum einen stellen Ausfallzeiten die größte operative Schwachstelle dar, da sie Teams, Planungen und den Patientendurchsatz beeinträchtigen. Zum anderen besteht Unsicherheit bei der Budgetplanung. Ungeplante, reaktive Reparaturen infolge plötzlicher Defekte führen zu schwer kalkulierbaren Kosten.</t>
        </is>
      </c>
      <c r="I245" t="inlineStr" s="2">
        <is>
          <t xml:space="preserve">Krankenhäuser stehen vor der großen Herausforderung, jederzeit ein Höchstmaß an Betriebssicherheit zu gewährleisten – und das bei weitgehend unveränderten Ressourcen und einer stetig steigenden Nachfrage. Ausfälle technischer Systeme stellen nicht nur ein Sicherheitsrisiko für Patient:innen dar. Sie beeinträchtigen Abläufe, können hohe ungeplante Kosten verursachen und sich negativ auf die Effizienz sowie die Reputation eines Krankenhauses auswirken. Hinzu kommen wachsende regulatorische Anforderungen, die eine konsequente Compliance erfordern und durch technische Ausfälle gefährdet werden können.</t>
        </is>
      </c>
      <c r="J245" s="4"/>
      <c r="K245" s="2"/>
      <c r="L245" t="str" s="3">
        <f>HYPERLINK("https://www.getinge.com/de/news-und-events/neuigkeiten/gesundheitswesen/wartungsstrategie-im-fokus/","/news-und-events/neuigkeiten/gesundheitswesen/wartungsstrategie-im-fokus/")</f>
        <v>/news-und-events/neuigkeiten/gesundheitswesen/wartungsstrategie-im-fokus/</v>
      </c>
    </row>
    <row r="246">
      <c r="A246" s="0">
        <v>245</v>
      </c>
      <c r="B246" t="str" s="3">
        <f>HYPERLINK("https://www.getinge.com/int/insights/updates/healthcare/maintenance-strategy-in-focus/","/insights/updates/healthcare/maintenance-strategy-in-focus/")</f>
        <v>/insights/updates/healthcare/maintenance-strategy-in-focus/</v>
      </c>
      <c r="C246" t="inlineStr" s="2">
        <is>
          <t xml:space="preserve">In addition, the time between operational failures can be extended, maintenance intervals can be adjusted based on actual needs, and the service life of equipment can be maximized. Sustainable and targeted maintenance and spare parts planning helps reduce costs in the long term and optimize the efficiency of existing investments.</t>
        </is>
      </c>
      <c r="D246" t="inlineStr" s="2">
        <is>
          <t xml:space="preserve">Darüber hinaus können die Zeiträume zwischen Betriebsausfällen verlängert, Wartungsintervalle bedarfsgerecht angepasst und die Lebensdauer von Geräten maximiert werden. Eine nachhaltige und gezielte Wartungs- und Ersatzteilplanung trägt dazu bei, langfristig Kosten zu senken und die Effizienz bestehender Investitionen zu steigern.</t>
        </is>
      </c>
      <c r="E246" t="inlineStr" s="0">
        <is>
          <t xml:space="preserve">Medium</t>
        </is>
      </c>
      <c r="F246" s="4"/>
      <c r="G246" t="inlineStr" s="2">
        <is>
          <t xml:space="preserve">Krankenhäuser berichten immer wieder von zwei zentralen Herausforderungen. Zum einen stellen Ausfallzeiten die größte operative Schwachstelle dar, da sie Teams, Planungen und den Patientendurchsatz beeinträchtigen. Zum anderen besteht Unsicherheit bei der Budgetplanung. Ungeplante, reaktive Reparaturen infolge plötzlicher Defekte führen zu schwer kalkulierbaren Kosten.</t>
        </is>
      </c>
      <c r="H246" t="inlineStr" s="2">
        <is>
          <t xml:space="preserve">Zu den proaktiven Wartungsansätzen zählen sowohl die präventive Wartung (Preventive Maintenance), die in festgelegten Intervallen durchgeführt wird, als auch die vorausschauende Wartung (Predictive Maintenance), die einen Schritt weitergeht. Sie ermöglicht es, potenzielle Probleme frühzeitig zu erkennen und vorherzusagen, wann ein Ausfall wahrscheinlich eintreten wird – bevor er tatsächlich passiert.</t>
        </is>
      </c>
      <c r="I246" t="inlineStr" s="2">
        <is>
          <t xml:space="preserve">Im Gegensatz zu intervallbasierten Wartungsstrategien basiert die Predictive Maintenance auf einer kontinuierlichen Echtzeitüberwachung des Gerätezustands mithilfe intelligenter Technologien – beispielsweise mit der Getinge-Lösung FleetView. Dadurch können Verschleißerscheinungen frühzeitig erkannt und ungeplante Reparaturen sowie Ausfallzeiten minimiert werden. Gleichzeitig unterstützt dieser Ansatz die Einhaltung regulatorischer Anforderungen an die Gerätesicherheit.</t>
        </is>
      </c>
      <c r="J246" s="4"/>
      <c r="K246" s="2"/>
      <c r="L246" t="str" s="3">
        <f>HYPERLINK("https://www.getinge.com/de/news-und-events/neuigkeiten/gesundheitswesen/wartungsstrategie-im-fokus/","/news-und-events/neuigkeiten/gesundheitswesen/wartungsstrategie-im-fokus/")</f>
        <v>/news-und-events/neuigkeiten/gesundheitswesen/wartungsstrategie-im-fokus/</v>
      </c>
    </row>
    <row r="247">
      <c r="A247" s="0">
        <v>246</v>
      </c>
      <c r="B247" t="str" s="3">
        <f>HYPERLINK("https://www.getinge.com/int/insights/updates/healthcare/maintenance-strategy-in-focus/","/insights/updates/healthcare/maintenance-strategy-in-focus/")</f>
        <v>/insights/updates/healthcare/maintenance-strategy-in-focus/</v>
      </c>
      <c r="C247" t="inlineStr" s="2">
        <is>
          <t xml:space="preserve">According to the comparative analysis, a predominantly predictive maintenance strategy results in 18.5% fewer unplanned downtime events and 87.3% fewer failures compared to preventive maintenance [1].</t>
        </is>
      </c>
      <c r="D247" t="inlineStr" s="2">
        <is>
          <t xml:space="preserve">Laut der Vergleichsanalyse führt eine überwiegend vorausschauende Wartungsstrategie zu 18,5 % weniger ungeplanten Ausfallzeiten und 87,3 % weniger Defekten als eine rein präventive Wartung [1].</t>
        </is>
      </c>
      <c r="E247" t="inlineStr" s="0">
        <is>
          <t xml:space="preserve">Medium</t>
        </is>
      </c>
      <c r="F247" s="4"/>
      <c r="G247" t="inlineStr" s="2">
        <is>
          <t xml:space="preserve">In Zeiten begrenzter Ressourcen und gleichzeitig steigender Anforderungen im klinischen Alltag gewinnt die Predictive Maintenance daher zunehmend an Bedeutung – als wichtiger Faktor für die Sicherheit, Effizienz und Zukunftsfähigkeit von Krankenhäusern.</t>
        </is>
      </c>
      <c r="H247" t="inlineStr" s="2">
        <is>
          <t xml:space="preserve">Eine Vergleichsanalyse aus dem Jahr 2021 zeigt, dass eine überwiegend proaktive Wartungsstrategie zu 52,7 % weniger ungeplanten Ausfallzeiten und 78,5 % weniger Defekten führte als eine überwiegend reaktive Wartungsstrategie [1].</t>
        </is>
      </c>
      <c r="I247" t="inlineStr" s="2">
        <is>
          <t xml:space="preserve">„Serviceverträge müssen beide Herausforderungen adressieren und Lösungen bieten, um sowohl Ausfallzeiten als auch Budgetrisiken zu minimieren“, erklärt Duane Hawkins, Service-Experte bei Getinge.</t>
        </is>
      </c>
      <c r="J247" s="4"/>
      <c r="K247" s="2"/>
      <c r="L247" t="str" s="3">
        <f>HYPERLINK("https://www.getinge.com/de/news-und-events/neuigkeiten/gesundheitswesen/wartungsstrategie-im-fokus/","/news-und-events/neuigkeiten/gesundheitswesen/wartungsstrategie-im-fokus/")</f>
        <v>/news-und-events/neuigkeiten/gesundheitswesen/wartungsstrategie-im-fokus/</v>
      </c>
    </row>
    <row r="248">
      <c r="A248" s="0">
        <v>247</v>
      </c>
      <c r="B248" t="str" s="3">
        <f>HYPERLINK("https://www.getinge.com/int/insights/updates/healthcare/maintenance-strategy-in-focus/","/insights/updates/healthcare/maintenance-strategy-in-focus/")</f>
        <v>/insights/updates/healthcare/maintenance-strategy-in-focus/</v>
      </c>
      <c r="C248" t="inlineStr" s="2">
        <is>
          <t xml:space="preserve">At a time of limited resources and increasing demands in daily clinical operations, predictive maintenance is therefore becoming increasingly important as a key factor for the safety, efficiency, and future viability of hospitals.</t>
        </is>
      </c>
      <c r="D248" t="inlineStr" s="2">
        <is>
          <t xml:space="preserve">In Zeiten begrenzter Ressourcen und gleichzeitig steigender Anforderungen im klinischen Alltag gewinnt die Predictive Maintenance daher zunehmend an Bedeutung – als wichtiger Faktor für die Sicherheit, Effizienz und Zukunftsfähigkeit von Krankenhäusern.</t>
        </is>
      </c>
      <c r="E248" t="inlineStr" s="0">
        <is>
          <t xml:space="preserve">Medium</t>
        </is>
      </c>
      <c r="F248" s="4"/>
      <c r="G248" t="inlineStr" s="2">
        <is>
          <t xml:space="preserve">Dies hilft dabei, Fehler frühzeitig zu erkennen, den Wartungs- und Reparaturbedarf besser vorherzusagen und somit die Planbarkeit zu erhöhen. Gleichzeitig kann der Umfang notwendiger Reparaturen reduziert werden, sodass Krankenhäuser möglichst lange ohne Geräteausfälle arbeiten können.</t>
        </is>
      </c>
      <c r="H248" t="inlineStr" s="2">
        <is>
          <t xml:space="preserve">Darüber hinaus können die Zeiträume zwischen Betriebsausfällen verlängert, Wartungsintervalle bedarfsgerecht angepasst und die Lebensdauer von Geräten maximiert werden. Eine nachhaltige und gezielte Wartungs- und Ersatzteilplanung trägt dazu bei, langfristig Kosten zu senken und die Effizienz bestehender Investitionen zu steigern.</t>
        </is>
      </c>
      <c r="I248" t="inlineStr" s="2">
        <is>
          <t xml:space="preserve">„Serviceverträge müssen beide Herausforderungen adressieren und Lösungen bieten, um sowohl Ausfallzeiten als auch Budgetrisiken zu minimieren“, erklärt Duane Hawkins, Service-Experte bei Getinge.</t>
        </is>
      </c>
      <c r="J248" s="4"/>
      <c r="K248" s="2"/>
      <c r="L248" t="str" s="3">
        <f>HYPERLINK("https://www.getinge.com/de/news-und-events/neuigkeiten/gesundheitswesen/wartungsstrategie-im-fokus/","/news-und-events/neuigkeiten/gesundheitswesen/wartungsstrategie-im-fokus/")</f>
        <v>/news-und-events/neuigkeiten/gesundheitswesen/wartungsstrategie-im-fokus/</v>
      </c>
    </row>
    <row r="249">
      <c r="A249" s="0">
        <v>248</v>
      </c>
      <c r="B249" t="str" s="3">
        <f>HYPERLINK("https://www.getinge.com/int/insights/updates/healthcare/maintenance-strategy-in-focus/","/insights/updates/healthcare/maintenance-strategy-in-focus/")</f>
        <v>/insights/updates/healthcare/maintenance-strategy-in-focus/</v>
      </c>
      <c r="C249" t="inlineStr" s="2">
        <is>
          <t xml:space="preserve">Conclusion: Maximizing uptime through proactive services</t>
        </is>
      </c>
      <c r="D249" t="inlineStr" s="2">
        <is>
          <t xml:space="preserve">Fazit: Maximale Verfügbarkeit durch proaktive Services</t>
        </is>
      </c>
      <c r="E249" t="inlineStr" s="0">
        <is>
          <t xml:space="preserve">Medium</t>
        </is>
      </c>
      <c r="F249" s="4"/>
      <c r="G249" t="inlineStr" s="2">
        <is>
          <t xml:space="preserve">Mehr Sicherheit, Wirtschaftlichkeit und verbesserte Compliance</t>
        </is>
      </c>
      <c r="H249" t="inlineStr" s="2">
        <is>
          <t xml:space="preserve">Zentrale Herausforderungen meistern: Ausfallzeiten und Budgetrisiken minimieren</t>
        </is>
      </c>
      <c r="I249" t="inlineStr" s="2">
        <is>
          <t xml:space="preserve">Proaktive Wartungsstrategien reduzieren Ausfälle, maximieren die Betriebszeit medizintechnischer Geräte und können Krankenhäusern langfristig dabei helfen, Kosten zu sparen.</t>
        </is>
      </c>
      <c r="J249" s="4"/>
      <c r="K249" s="2"/>
      <c r="L249" t="str" s="3">
        <f>HYPERLINK("https://www.getinge.com/de/news-und-events/neuigkeiten/gesundheitswesen/wartungsstrategie-im-fokus/","/news-und-events/neuigkeiten/gesundheitswesen/wartungsstrategie-im-fokus/")</f>
        <v>/news-und-events/neuigkeiten/gesundheitswesen/wartungsstrategie-im-fokus/</v>
      </c>
    </row>
    <row r="250">
      <c r="A250" s="0">
        <v>249</v>
      </c>
      <c r="B250" t="str" s="3">
        <f>HYPERLINK("https://www.getinge.com/int/insights/updates/healthcare/maintenance-strategy-in-focus/","/insights/updates/healthcare/maintenance-strategy-in-focus/")</f>
        <v>/insights/updates/healthcare/maintenance-strategy-in-focus/</v>
      </c>
      <c r="C250" t="inlineStr" s="2">
        <is>
          <t xml:space="preserve">Proactive maintenance strategies reduce failures, maximize the operating time of medical devices, and can help hospitals save costs in the long term. Predictive maintenance is particularly efficient in this context – for example, when supported by an appropriate Getinge service contract.</t>
        </is>
      </c>
      <c r="D250" s="2"/>
      <c r="F250" s="4"/>
      <c r="G250" t="inlineStr" s="2">
        <is>
          <t xml:space="preserve">Darüber hinaus können die Zeiträume zwischen Betriebsausfällen verlängert, Wartungsintervalle bedarfsgerecht angepasst und die Lebensdauer von Geräten maximiert werden. Eine nachhaltige und gezielte Wartungs- und Ersatzteilplanung trägt dazu bei, langfristig Kosten zu senken und die Effizienz bestehender Investitionen zu steigern.</t>
        </is>
      </c>
      <c r="H250" t="inlineStr" s="2">
        <is>
          <t xml:space="preserve">Krankenhäuser berichten immer wieder von zwei zentralen Herausforderungen. Zum einen stellen Ausfallzeiten die größte operative Schwachstelle dar, da sie Teams, Planungen und den Patientendurchsatz beeinträchtigen. Zum anderen besteht Unsicherheit bei der Budgetplanung. Ungeplante, reaktive Reparaturen infolge plötzlicher Defekte führen zu schwer kalkulierbaren Kosten.</t>
        </is>
      </c>
      <c r="I250" t="inlineStr" s="2">
        <is>
          <t xml:space="preserve">Zu den proaktiven Wartungsansätzen zählen sowohl die präventive Wartung (Preventive Maintenance), die in festgelegten Intervallen durchgeführt wird, als auch die vorausschauende Wartung (Predictive Maintenance), die einen Schritt weitergeht. Sie ermöglicht es, potenzielle Probleme frühzeitig zu erkennen und vorherzusagen, wann ein Ausfall wahrscheinlich eintreten wird – bevor er tatsächlich passiert.</t>
        </is>
      </c>
      <c r="J250" s="4"/>
      <c r="K250" s="2"/>
      <c r="L250" t="str" s="3">
        <f>HYPERLINK("https://www.getinge.com/de/news-und-events/neuigkeiten/gesundheitswesen/wartungsstrategie-im-fokus/","/news-und-events/neuigkeiten/gesundheitswesen/wartungsstrategie-im-fokus/")</f>
        <v>/news-und-events/neuigkeiten/gesundheitswesen/wartungsstrategie-im-fokus/</v>
      </c>
    </row>
    <row r="251">
      <c r="A251" s="0">
        <v>250</v>
      </c>
      <c r="B251" t="str" s="3">
        <f>HYPERLINK("https://www.getinge.com/int/insights/updates/healthcare/mygetinge-procurement/","/insights/updates/healthcare/mygetinge-procurement/")</f>
        <v>/insights/updates/healthcare/mygetinge-procurement/</v>
      </c>
      <c r="C251" t="inlineStr" s="2">
        <is>
          <t xml:space="preserve">Procurement is often associated with sourcing products, negotiating conditions and placing orders. But much of the daily work begins after an order has been placed.</t>
        </is>
      </c>
      <c r="D251" t="inlineStr" s="2">
        <is>
          <t xml:space="preserve">Einkauf wird häufig mit der Beschaffung von Produkten, der Verhandlung von Konditionen und der Aufgabe von Bestellungen in Verbindung gebracht. Ein großer Teil der täglichen Arbeit beginnt jedoch erst, nachdem eine Bestellung aufgegeben wurde.</t>
        </is>
      </c>
      <c r="E251" t="inlineStr" s="0">
        <is>
          <t xml:space="preserve">Low</t>
        </is>
      </c>
      <c r="F251" s="4"/>
      <c r="G251" t="inlineStr" s="2">
        <is>
          <t xml:space="preserve">Der praktische Vorteil liegt darin, den Aufwand zu reduzieren, der erforderlich ist, um die richtigen Informationen zu finden, weiterzugeben und im Einkaufsalltag zu nutzen.</t>
        </is>
      </c>
      <c r="H251" t="inlineStr" s="2">
        <is>
          <t xml:space="preserve">Weniger Zeit für die Suche nach Informationen und deren Nachverfolgung bedeutet für Einkaufsteams mehr Zeit für die Entscheidungen und Aufgaben, bei denen ihre Expertise tatsächlich gefragt ist.</t>
        </is>
      </c>
      <c r="I251" t="inlineStr" s="2">
        <is>
          <t xml:space="preserve">Für sich genommen ist keine dieser Anfragen besonders komplex. In ihrer Summe machen sie jedoch einen erheblichen Teil der täglichen Arbeitsbelastung aus.</t>
        </is>
      </c>
      <c r="J251" s="4"/>
      <c r="K251" s="2"/>
      <c r="L251" t="str" s="3">
        <f>HYPERLINK("https://www.getinge.com/de/news-und-events/neuigkeiten/gesundheitswesen/mygetinge-einkauf/","/news-und-events/neuigkeiten/gesundheitswesen/mygetinge-einkauf/")</f>
        <v>/news-und-events/neuigkeiten/gesundheitswesen/mygetinge-einkauf/</v>
      </c>
    </row>
    <row r="252">
      <c r="A252" s="0">
        <v>251</v>
      </c>
      <c r="B252" t="str" s="3">
        <f>HYPERLINK("https://www.getinge.com/int/insights/updates/healthcare/mygetinge-procurement/","/insights/updates/healthcare/mygetinge-procurement/")</f>
        <v>/insights/updates/healthcare/mygetinge-procurement/</v>
      </c>
      <c r="C252" t="inlineStr" s="2">
        <is>
          <t xml:space="preserve">When will the delivery arrive? Where is the order confirmation? Has the invoice already been issued? What is the status of the service request?</t>
        </is>
      </c>
      <c r="D252" t="inlineStr" s="2">
        <is>
          <t xml:space="preserve">Wann kommt die Lieferung an? Wo ist die Auftragsbestätigung? Wurde die Rechnung bereits ausgestellt? Wie ist der Status der Serviceanfrage?</t>
        </is>
      </c>
      <c r="E252" t="inlineStr" s="0">
        <is>
          <t xml:space="preserve">Low</t>
        </is>
      </c>
      <c r="F252" s="4"/>
      <c r="G252" t="inlineStr" s="2">
        <is>
          <t xml:space="preserve">Der praktische Vorteil liegt darin, den Aufwand zu reduzieren, der erforderlich ist, um die richtigen Informationen zu finden, weiterzugeben und im Einkaufsalltag zu nutzen.</t>
        </is>
      </c>
      <c r="H252" t="inlineStr" s="2">
        <is>
          <t xml:space="preserve">Für sich genommen ist keine dieser Anfragen besonders komplex. In ihrer Summe machen sie jedoch einen erheblichen Teil der täglichen Arbeitsbelastung aus.</t>
        </is>
      </c>
      <c r="I252" t="inlineStr" s="2">
        <is>
          <t xml:space="preserve">Weniger Zeit für die Suche nach Informationen und deren Nachverfolgung bedeutet für Einkaufsteams mehr Zeit für die Entscheidungen und Aufgaben, bei denen ihre Expertise tatsächlich gefragt ist.</t>
        </is>
      </c>
      <c r="J252" s="4"/>
      <c r="K252" s="2"/>
      <c r="L252" t="str" s="3">
        <f>HYPERLINK("https://www.getinge.com/de/news-und-events/neuigkeiten/gesundheitswesen/mygetinge-einkauf/","/news-und-events/neuigkeiten/gesundheitswesen/mygetinge-einkauf/")</f>
        <v>/news-und-events/neuigkeiten/gesundheitswesen/mygetinge-einkauf/</v>
      </c>
    </row>
    <row r="253">
      <c r="A253" s="0">
        <v>252</v>
      </c>
      <c r="B253" t="str" s="3">
        <f>HYPERLINK("https://www.getinge.com/int/insights/updates/healthcare/mygetinge-procurement/","/insights/updates/healthcare/mygetinge-procurement/")</f>
        <v>/insights/updates/healthcare/mygetinge-procurement/</v>
      </c>
      <c r="C253" t="inlineStr" s="2">
        <is>
          <t xml:space="preserve">Procurement teams are often the first point of contact for these questions. They locate order confirmations, check delivery status, retrieve invoices, follow up on service requests and provide updates to the clinical, technical, financial and administrative teams that depend on this information.</t>
        </is>
      </c>
      <c r="D253" t="inlineStr" s="2">
        <is>
          <t xml:space="preserve">Einkaufsteams sind bei diesen Fragen häufig die erste Anlaufstelle. Sie suchen Auftragsbestätigungen, prüfen den Lieferstatus, rufen Rechnungen ab, verfolgen Serviceanfragen und informieren die klinischen, technischen, kaufmännischen und administrativen Teams, die auf diese Informationen angewiesen sind.</t>
        </is>
      </c>
      <c r="E253" t="inlineStr" s="0">
        <is>
          <t xml:space="preserve">Medium</t>
        </is>
      </c>
      <c r="F253" s="4"/>
      <c r="G253" t="inlineStr" s="2">
        <is>
          <t xml:space="preserve">So kann eine einfache Routinefrage eine ganze Reihe von Aktivitäten auslösen: ein Dokument suchen, die bisherige Korrespondenz prüfen, den Lieferanten kontaktieren, den aktuellen Status bestätigen und die Informationen weiterleiten. Auf diese Weise wird der Einkauf zur manuellen Informationsschnittstelle zwischen Lieferanten und den verschiedenen Teams im Krankenhaus.</t>
        </is>
      </c>
      <c r="H253" t="inlineStr" s="2">
        <is>
          <t xml:space="preserve">Für Einkaufsteams bedeutet dies weniger routinemäßige Informationsanfragen und mehr Transparenz über laufende Bestellungen und Prozesse. Für andere Abteilungen bedeutet es einen schnelleren Zugang zu den benötigten Informationen. Für die Organisation als Ganzes unterstützt es transparentere und besser koordinierte Arbeitsweisen.</t>
        </is>
      </c>
      <c r="I253" t="inlineStr" s="2">
        <is>
          <t xml:space="preserve">Digitale Kundenportale bieten eine Möglichkeit, dieser Herausforderung zu begegnen. Über eine gemeinsame digitale Plattform erhalten Einkaufsteams direkten Zugriff auf Informationen und können Daten, Statusupdates und Dokumente abrufen, ohne jedes Mal eine separate Statusanfrage stellen zu müssen.</t>
        </is>
      </c>
      <c r="J253" s="4"/>
      <c r="K253" s="2"/>
      <c r="L253" t="str" s="3">
        <f>HYPERLINK("https://www.getinge.com/de/news-und-events/neuigkeiten/gesundheitswesen/mygetinge-einkauf/","/news-und-events/neuigkeiten/gesundheitswesen/mygetinge-einkauf/")</f>
        <v>/news-und-events/neuigkeiten/gesundheitswesen/mygetinge-einkauf/</v>
      </c>
    </row>
    <row r="254">
      <c r="A254" s="0">
        <v>253</v>
      </c>
      <c r="B254" t="str" s="3">
        <f>HYPERLINK("https://www.getinge.com/int/insights/updates/healthcare/mygetinge-procurement/","/insights/updates/healthcare/mygetinge-procurement/")</f>
        <v>/insights/updates/healthcare/mygetinge-procurement/</v>
      </c>
      <c r="C254" t="inlineStr" s="2">
        <is>
          <t xml:space="preserve">Individually, none of these requests is particularly complex. Collectively, however, they become a significant part of the daily workload.</t>
        </is>
      </c>
      <c r="D254" t="inlineStr" s="2">
        <is>
          <t xml:space="preserve">Für sich genommen ist keine dieser Anfragen besonders komplex. In ihrer Summe machen sie jedoch einen erheblichen Teil der täglichen Arbeitsbelastung aus.</t>
        </is>
      </c>
      <c r="E254" t="inlineStr" s="0">
        <is>
          <t xml:space="preserve">Low</t>
        </is>
      </c>
      <c r="F254" s="4"/>
      <c r="G254" t="inlineStr" s="2">
        <is>
          <t xml:space="preserve">Der praktische Vorteil liegt darin, den Aufwand zu reduzieren, der erforderlich ist, um die richtigen Informationen zu finden, weiterzugeben und im Einkaufsalltag zu nutzen.</t>
        </is>
      </c>
      <c r="H254" t="inlineStr" s="2">
        <is>
          <t xml:space="preserve">Wann kommt die Lieferung an? Wo ist die Auftragsbestätigung? Wurde die Rechnung bereits ausgestellt? Wie ist der Status der Serviceanfrage?</t>
        </is>
      </c>
      <c r="I254" t="inlineStr" s="2">
        <is>
          <t xml:space="preserve">Weniger Zeit für die Suche nach Informationen und deren Nachverfolgung bedeutet für Einkaufsteams mehr Zeit für die Entscheidungen und Aufgaben, bei denen ihre Expertise tatsächlich gefragt ist.</t>
        </is>
      </c>
      <c r="J254" s="4"/>
      <c r="K254" s="2"/>
      <c r="L254" t="str" s="3">
        <f>HYPERLINK("https://www.getinge.com/de/news-und-events/neuigkeiten/gesundheitswesen/mygetinge-einkauf/","/news-und-events/neuigkeiten/gesundheitswesen/mygetinge-einkauf/")</f>
        <v>/news-und-events/neuigkeiten/gesundheitswesen/mygetinge-einkauf/</v>
      </c>
    </row>
    <row r="255">
      <c r="A255" s="0">
        <v>254</v>
      </c>
      <c r="B255" t="str" s="3">
        <f>HYPERLINK("https://www.getinge.com/int/insights/updates/healthcare/mygetinge-procurement/","/insights/updates/healthcare/mygetinge-procurement/")</f>
        <v>/insights/updates/healthcare/mygetinge-procurement/</v>
      </c>
      <c r="C255" t="inlineStr" s="2">
        <is>
          <t xml:space="preserve">When access to information becomes a bottleneck</t>
        </is>
      </c>
      <c r="D255" t="inlineStr" s="2">
        <is>
          <t xml:space="preserve">Wenn der Zugang zu Informationen zum Engpass wird</t>
        </is>
      </c>
      <c r="E255" t="inlineStr" s="0">
        <is>
          <t xml:space="preserve">Medium</t>
        </is>
      </c>
      <c r="F255" s="4"/>
      <c r="G255" t="inlineStr" s="2">
        <is>
          <t xml:space="preserve">Transparenz bedeutet, Informationen zugänglich zu machen</t>
        </is>
      </c>
      <c r="H255" t="inlineStr" s="2">
        <is>
          <t xml:space="preserve">Weniger Informationssuche, mehr Zeit für wichtige Aufgaben</t>
        </is>
      </c>
      <c r="I255" t="inlineStr" s="2">
        <is>
          <t xml:space="preserve">Ein zentraler digitaler Zugang zu häufig benötigten Informationen</t>
        </is>
      </c>
      <c r="J255" s="4"/>
      <c r="K255" s="2"/>
      <c r="L255" t="str" s="3">
        <f>HYPERLINK("https://www.getinge.com/de/news-und-events/neuigkeiten/gesundheitswesen/mygetinge-einkauf/","/news-und-events/neuigkeiten/gesundheitswesen/mygetinge-einkauf/")</f>
        <v>/news-und-events/neuigkeiten/gesundheitswesen/mygetinge-einkauf/</v>
      </c>
    </row>
    <row r="256">
      <c r="A256" s="0">
        <v>255</v>
      </c>
      <c r="B256" t="str" s="3">
        <f>HYPERLINK("https://www.getinge.com/int/insights/updates/healthcare/mygetinge-procurement/","/insights/updates/healthcare/mygetinge-procurement/")</f>
        <v>/insights/updates/healthcare/mygetinge-procurement/</v>
      </c>
      <c r="C256" t="inlineStr" s="2">
        <is>
          <t xml:space="preserve">Most of the information already exists. Order confirmations have been issued, deliveries are being processed, invoices are available and service requests have been logged. The challenge is accessing this information when it is needed.</t>
        </is>
      </c>
      <c r="D256" t="inlineStr" s="2">
        <is>
          <t xml:space="preserve">Die meisten Informationen sind bereits vorhanden. Auftragsbestätigungen wurden erstellt, Lieferungen werden bearbeitet, Rechnungen stehen zur Verfügung und Serviceanfragen wurden erfasst. Die Herausforderung besteht darin, auf diese Informationen zugreifen zu können, wenn sie benötigt werden.</t>
        </is>
      </c>
      <c r="E256" t="inlineStr" s="0">
        <is>
          <t xml:space="preserve">Low</t>
        </is>
      </c>
      <c r="F256" s="4"/>
      <c r="G256" t="inlineStr" s="2">
        <is>
          <t xml:space="preserve">Anstatt dass jede Frage über den Einkauf läuft, können häufig benötigte Informationen direkt abgerufen werden, wenn sie gebraucht werden. Der Einkauf behält den Überblick und die Kontrolle, muss jedoch nicht bei jeder Routineanfrage als Vermittler fungieren.</t>
        </is>
      </c>
      <c r="H256" t="inlineStr" s="2">
        <is>
          <t xml:space="preserve">Einkaufsteams sind bei diesen Fragen häufig die erste Anlaufstelle. Sie suchen Auftragsbestätigungen, prüfen den Lieferstatus, rufen Rechnungen ab, verfolgen Serviceanfragen und informieren die klinischen, technischen, kaufmännischen und administrativen Teams, die auf diese Informationen angewiesen sind.</t>
        </is>
      </c>
      <c r="I256" t="inlineStr" s="2">
        <is>
          <t xml:space="preserve">Digitale Kundenportale bieten eine Möglichkeit, dieser Herausforderung zu begegnen. Über eine gemeinsame digitale Plattform erhalten Einkaufsteams direkten Zugriff auf Informationen und können Daten, Statusupdates und Dokumente abrufen, ohne jedes Mal eine separate Statusanfrage stellen zu müssen.</t>
        </is>
      </c>
      <c r="J256" s="4"/>
      <c r="K256" s="2"/>
      <c r="L256" t="str" s="3">
        <f>HYPERLINK("https://www.getinge.com/de/news-und-events/neuigkeiten/gesundheitswesen/mygetinge-einkauf/","/news-und-events/neuigkeiten/gesundheitswesen/mygetinge-einkauf/")</f>
        <v>/news-und-events/neuigkeiten/gesundheitswesen/mygetinge-einkauf/</v>
      </c>
    </row>
    <row r="257">
      <c r="A257" s="0">
        <v>256</v>
      </c>
      <c r="B257" t="str" s="3">
        <f>HYPERLINK("https://www.getinge.com/int/insights/updates/healthcare/mygetinge-procurement/","/insights/updates/healthcare/mygetinge-procurement/")</f>
        <v>/insights/updates/healthcare/mygetinge-procurement/</v>
      </c>
      <c r="C257" t="inlineStr" s="2">
        <is>
          <t xml:space="preserve">Transparency means making information accessible</t>
        </is>
      </c>
      <c r="D257" t="inlineStr" s="2">
        <is>
          <t xml:space="preserve">Transparenz bedeutet, Informationen zugänglich zu machen</t>
        </is>
      </c>
      <c r="E257" t="inlineStr" s="0">
        <is>
          <t xml:space="preserve">Medium</t>
        </is>
      </c>
      <c r="F257" s="4"/>
      <c r="G257" t="inlineStr" s="2">
        <is>
          <t xml:space="preserve">Wenn der Zugang zu Informationen zum Engpass wird</t>
        </is>
      </c>
      <c r="H257" t="inlineStr" s="2">
        <is>
          <t xml:space="preserve">Weniger Informationssuche, mehr Zeit für wichtige Aufgaben</t>
        </is>
      </c>
      <c r="I257" t="inlineStr" s="2">
        <is>
          <t xml:space="preserve">Ein zentraler digitaler Zugang zu häufig benötigten Informationen</t>
        </is>
      </c>
      <c r="J257" s="4"/>
      <c r="K257" s="2"/>
      <c r="L257" t="str" s="3">
        <f>HYPERLINK("https://www.getinge.com/de/news-und-events/neuigkeiten/gesundheitswesen/mygetinge-einkauf/","/news-und-events/neuigkeiten/gesundheitswesen/mygetinge-einkauf/")</f>
        <v>/news-und-events/neuigkeiten/gesundheitswesen/mygetinge-einkauf/</v>
      </c>
    </row>
    <row r="258">
      <c r="A258" s="0">
        <v>257</v>
      </c>
      <c r="B258" t="str" s="3">
        <f>HYPERLINK("https://www.getinge.com/int/insights/updates/healthcare/mygetinge-procurement/","/insights/updates/healthcare/mygetinge-procurement/")</f>
        <v>/insights/updates/healthcare/mygetinge-procurement/</v>
      </c>
      <c r="C258" t="inlineStr" s="2">
        <is>
          <t xml:space="preserve">Greater transparency starts with making existing information easier to find and use. Current NHS supply chain priorities reinforce this need, with a focus on streamlined digital processes and real-time order visibility.[3]</t>
        </is>
      </c>
      <c r="D258" t="inlineStr" s="2">
        <is>
          <t xml:space="preserve">Mehr Transparenz beginnt damit, bereits vorhandene Informationen leichter auffindbar und nutzbar zu machen. Auch die aktuellen Prioritäten der NHS Supply Chain unterstreichen diesen Bedarf und legen den Fokus auf optimierte digitale Prozesse und Echtzeit-Transparenz bei Bestellungen.[3]</t>
        </is>
      </c>
      <c r="E258" t="inlineStr" s="0">
        <is>
          <t xml:space="preserve">High</t>
        </is>
      </c>
      <c r="F258" s="4"/>
      <c r="G258" t="inlineStr" s="2">
        <is>
          <t xml:space="preserve">Anstatt dass jede Frage über den Einkauf läuft, können häufig benötigte Informationen direkt abgerufen werden, wenn sie gebraucht werden. Der Einkauf behält den Überblick und die Kontrolle, muss jedoch nicht bei jeder Routineanfrage als Vermittler fungieren.</t>
        </is>
      </c>
      <c r="H258" t="inlineStr" s="2">
        <is>
          <t xml:space="preserve">Digitale Kundenportale bieten eine Möglichkeit, dieser Herausforderung zu begegnen. Über eine gemeinsame digitale Plattform erhalten Einkaufsteams direkten Zugriff auf Informationen und können Daten, Statusupdates und Dokumente abrufen, ohne jedes Mal eine separate Statusanfrage stellen zu müssen.</t>
        </is>
      </c>
      <c r="I258" t="inlineStr" s="2">
        <is>
          <t xml:space="preserve">Einkauf wird häufig mit der Beschaffung von Produkten, der Verhandlung von Konditionen und der Aufgabe von Bestellungen in Verbindung gebracht. Ein großer Teil der täglichen Arbeit beginnt jedoch erst, nachdem eine Bestellung aufgegeben wurde.</t>
        </is>
      </c>
      <c r="J258" s="4"/>
      <c r="K258" s="2"/>
      <c r="L258" t="str" s="3">
        <f>HYPERLINK("https://www.getinge.com/de/news-und-events/neuigkeiten/gesundheitswesen/mygetinge-einkauf/","/news-und-events/neuigkeiten/gesundheitswesen/mygetinge-einkauf/")</f>
        <v>/news-und-events/neuigkeiten/gesundheitswesen/mygetinge-einkauf/</v>
      </c>
    </row>
    <row r="259">
      <c r="A259" s="0">
        <v>258</v>
      </c>
      <c r="B259" t="str" s="3">
        <f>HYPERLINK("https://www.getinge.com/int/insights/updates/healthcare/mygetinge-procurement/","/insights/updates/healthcare/mygetinge-procurement/")</f>
        <v>/insights/updates/healthcare/mygetinge-procurement/</v>
      </c>
      <c r="C259" t="inlineStr" s="2">
        <is>
          <t xml:space="preserve">One digital entry point for frequently needed information</t>
        </is>
      </c>
      <c r="D259" t="inlineStr" s="2">
        <is>
          <t xml:space="preserve">Ein zentraler digitaler Zugang zu häufig benötigten Informationen</t>
        </is>
      </c>
      <c r="E259" t="inlineStr" s="0">
        <is>
          <t xml:space="preserve">Medium</t>
        </is>
      </c>
      <c r="F259" s="4"/>
      <c r="G259" t="inlineStr" s="2">
        <is>
          <t xml:space="preserve">Weniger Informationssuche, mehr Zeit für wichtige Aufgaben</t>
        </is>
      </c>
      <c r="H259" t="inlineStr" s="2">
        <is>
          <t xml:space="preserve">Transparenz bedeutet, Informationen zugänglich zu machen</t>
        </is>
      </c>
      <c r="I259" t="inlineStr" s="2">
        <is>
          <t xml:space="preserve">Wenn der Zugang zu Informationen zum Engpass wird</t>
        </is>
      </c>
      <c r="J259" s="4"/>
      <c r="K259" s="2"/>
      <c r="L259" t="str" s="3">
        <f>HYPERLINK("https://www.getinge.com/de/news-und-events/neuigkeiten/gesundheitswesen/mygetinge-einkauf/","/news-und-events/neuigkeiten/gesundheitswesen/mygetinge-einkauf/")</f>
        <v>/news-und-events/neuigkeiten/gesundheitswesen/mygetinge-einkauf/</v>
      </c>
    </row>
    <row r="260">
      <c r="A260" s="0">
        <v>259</v>
      </c>
      <c r="B260" t="str" s="3">
        <f>HYPERLINK("https://www.getinge.com/int/insights/updates/healthcare/mygetinge-procurement/","/insights/updates/healthcare/mygetinge-procurement/")</f>
        <v>/insights/updates/healthcare/mygetinge-procurement/</v>
      </c>
      <c r="C260" t="inlineStr" s="2">
        <is>
          <t xml:space="preserve">Digital customer portals are one way of addressing this challenge. They provide procurement teams with direct access to information through a shared digital platform, allowing procurement teams to retrieve records, updates and documents without requiring a separate status request each time.</t>
        </is>
      </c>
      <c r="D260" t="inlineStr" s="2">
        <is>
          <t xml:space="preserve">Digitale Kundenportale bieten eine Möglichkeit, dieser Herausforderung zu begegnen. Über eine gemeinsame digitale Plattform erhalten Einkaufsteams direkten Zugriff auf Informationen und können Daten, Statusupdates und Dokumente abrufen, ohne jedes Mal eine separate Statusanfrage stellen zu müssen.</t>
        </is>
      </c>
      <c r="E260" t="inlineStr" s="0">
        <is>
          <t xml:space="preserve">Medium</t>
        </is>
      </c>
      <c r="F260" s="4"/>
      <c r="G260" t="inlineStr" s="2">
        <is>
          <t xml:space="preserve">So kann eine einfache Routinefrage eine ganze Reihe von Aktivitäten auslösen: ein Dokument suchen, die bisherige Korrespondenz prüfen, den Lieferanten kontaktieren, den aktuellen Status bestätigen und die Informationen weiterleiten. Auf diese Weise wird der Einkauf zur manuellen Informationsschnittstelle zwischen Lieferanten und den verschiedenen Teams im Krankenhaus.</t>
        </is>
      </c>
      <c r="H260" t="inlineStr" s="2">
        <is>
          <t xml:space="preserve">Für Einkaufsteams bedeutet dies weniger routinemäßige Informationsanfragen und mehr Transparenz über laufende Bestellungen und Prozesse. Für andere Abteilungen bedeutet es einen schnelleren Zugang zu den benötigten Informationen. Für die Organisation als Ganzes unterstützt es transparentere und besser koordinierte Arbeitsweisen.</t>
        </is>
      </c>
      <c r="I260" t="inlineStr" s="2">
        <is>
          <t xml:space="preserve">Ein direkter Zugriff auf Bestellinformationen, Lieferstatus, Rechnungen und zugehörige Dokumente kann die Abhängigkeit von einzelnen E-Mail-Anfragen und routinemäßigen Statusabfragen reduzieren. Gleichzeitig ermöglicht er Einkaufsteams und anderen relevanten Beteiligten, auf Grundlage derselben Informationen zu arbeiten, anstatt auf weitergeleitete Nachrichten oder separate Statusupdates angewiesen zu sein.</t>
        </is>
      </c>
      <c r="J260" s="4"/>
      <c r="K260" s="2"/>
      <c r="L260" t="str" s="3">
        <f>HYPERLINK("https://www.getinge.com/de/news-und-events/neuigkeiten/gesundheitswesen/mygetinge-einkauf/","/news-und-events/neuigkeiten/gesundheitswesen/mygetinge-einkauf/")</f>
        <v>/news-und-events/neuigkeiten/gesundheitswesen/mygetinge-einkauf/</v>
      </c>
    </row>
    <row r="261">
      <c r="A261" s="0">
        <v>260</v>
      </c>
      <c r="B261" t="str" s="3">
        <f>HYPERLINK("https://www.getinge.com/int/insights/updates/healthcare/mygetinge-procurement/","/insights/updates/healthcare/mygetinge-procurement/")</f>
        <v>/insights/updates/healthcare/mygetinge-procurement/</v>
      </c>
      <c r="C261" t="inlineStr" s="2">
        <is>
          <t xml:space="preserve">myGetinge, Getinge’s secure customer portal, applies this approach by bringing together order tracking, invoices, order confirmations and service-related information in one digital platform. Procurement teams can check order and delivery status, access relevant documents and follow up on specific requests without first searching through previous email exchanges or waiting for a manual update.</t>
        </is>
      </c>
      <c r="D261" t="inlineStr" s="2">
        <is>
          <t xml:space="preserve">myGetinge, das Kundenportal von Getinge, setzt diesen Ansatz um, indem es die Sendungsverfolgung, Rechnungen, Auftragsbestätigungen und servicebezogene Informationen auf einer digitalen Plattform zusammenführt. Einkaufsteams können den Bestell- und Lieferstatus prüfen, relevante Dokumente abrufen und spezifische Anfragen nachverfolgen, ohne zunächst frühere E-Mail-Korrespondenzen durchsuchen oder auf ein manuelles Statusupdate warten zu müssen.</t>
        </is>
      </c>
      <c r="E261" t="inlineStr" s="0">
        <is>
          <t xml:space="preserve">Medium</t>
        </is>
      </c>
      <c r="F261" s="4"/>
      <c r="G261" t="inlineStr" s="2">
        <is>
          <t xml:space="preserve">Ein direkter Zugriff auf Bestellinformationen, Lieferstatus, Rechnungen und zugehörige Dokumente kann die Abhängigkeit von einzelnen E-Mail-Anfragen und routinemäßigen Statusabfragen reduzieren. Gleichzeitig ermöglicht er Einkaufsteams und anderen relevanten Beteiligten, auf Grundlage derselben Informationen zu arbeiten, anstatt auf weitergeleitete Nachrichten oder separate Statusupdates angewiesen zu sein.</t>
        </is>
      </c>
      <c r="H261" t="inlineStr" s="2">
        <is>
          <t xml:space="preserve">So kann eine einfache Routinefrage eine ganze Reihe von Aktivitäten auslösen: ein Dokument suchen, die bisherige Korrespondenz prüfen, den Lieferanten kontaktieren, den aktuellen Status bestätigen und die Informationen weiterleiten. Auf diese Weise wird der Einkauf zur manuellen Informationsschnittstelle zwischen Lieferanten und den verschiedenen Teams im Krankenhaus.</t>
        </is>
      </c>
      <c r="I261" t="inlineStr" s="2">
        <is>
          <t xml:space="preserve">Der digitale Zugang verändert die strategische Rolle des Einkaufs nicht. Einkaufsteams werden weiterhin Lieferanten steuern, interne Anforderungen koordinieren und Beschaffungsentscheidungen unterstützen. Er kann jedoch den Zeitaufwand reduzieren, der durch die Suche nach bereits vorhandenen Informationen oder die Beantwortung routinemäßiger Fragen entsteht, die andere Beteiligte selbst klären könnten.</t>
        </is>
      </c>
      <c r="J261" s="4"/>
      <c r="K261" s="2"/>
      <c r="L261" t="str" s="3">
        <f>HYPERLINK("https://www.getinge.com/de/news-und-events/neuigkeiten/gesundheitswesen/mygetinge-einkauf/","/news-und-events/neuigkeiten/gesundheitswesen/mygetinge-einkauf/")</f>
        <v>/news-und-events/neuigkeiten/gesundheitswesen/mygetinge-einkauf/</v>
      </c>
    </row>
    <row r="262">
      <c r="A262" s="0">
        <v>261</v>
      </c>
      <c r="B262" t="str" s="3">
        <f>HYPERLINK("https://www.getinge.com/int/insights/updates/healthcare/mygetinge-procurement/","/insights/updates/healthcare/mygetinge-procurement/")</f>
        <v>/insights/updates/healthcare/mygetinge-procurement/</v>
      </c>
      <c r="C262" t="inlineStr" s="2">
        <is>
          <t xml:space="preserve">The practical benefit lies in reducing the effort needed to find the right information, pass it on and use it in day-to-day procurement.</t>
        </is>
      </c>
      <c r="D262" t="inlineStr" s="2">
        <is>
          <t xml:space="preserve">Der praktische Vorteil liegt darin, den Aufwand zu reduzieren, der erforderlich ist, um die richtigen Informationen zu finden, weiterzugeben und im Einkaufsalltag zu nutzen.</t>
        </is>
      </c>
      <c r="E262" t="inlineStr" s="0">
        <is>
          <t xml:space="preserve">Medium</t>
        </is>
      </c>
      <c r="F262" s="4"/>
      <c r="G262" t="inlineStr" s="2">
        <is>
          <t xml:space="preserve">Für sich genommen ist keine dieser Anfragen besonders komplex. In ihrer Summe machen sie jedoch einen erheblichen Teil der täglichen Arbeitsbelastung aus.</t>
        </is>
      </c>
      <c r="H262" t="inlineStr" s="2">
        <is>
          <t xml:space="preserve">Wann kommt die Lieferung an? Wo ist die Auftragsbestätigung? Wurde die Rechnung bereits ausgestellt? Wie ist der Status der Serviceanfrage?</t>
        </is>
      </c>
      <c r="I262" t="inlineStr" s="2">
        <is>
          <t xml:space="preserve">Weniger Zeit für die Suche nach Informationen und deren Nachverfolgung bedeutet für Einkaufsteams mehr Zeit für die Entscheidungen und Aufgaben, bei denen ihre Expertise tatsächlich gefragt ist.</t>
        </is>
      </c>
      <c r="J262" s="4"/>
      <c r="K262" s="2"/>
      <c r="L262" t="str" s="3">
        <f>HYPERLINK("https://www.getinge.com/de/news-und-events/neuigkeiten/gesundheitswesen/mygetinge-einkauf/","/news-und-events/neuigkeiten/gesundheitswesen/mygetinge-einkauf/")</f>
        <v>/news-und-events/neuigkeiten/gesundheitswesen/mygetinge-einkauf/</v>
      </c>
    </row>
    <row r="263">
      <c r="A263" s="0">
        <v>262</v>
      </c>
      <c r="B263" t="str" s="3">
        <f>HYPERLINK("https://www.getinge.com/int/insights/updates/healthcare/mygetinge-procurement/","/insights/updates/healthcare/mygetinge-procurement/")</f>
        <v>/insights/updates/healthcare/mygetinge-procurement/</v>
      </c>
      <c r="C263" t="inlineStr" s="2">
        <is>
          <t xml:space="preserve">From answering questions to enabling action</t>
        </is>
      </c>
      <c r="D263" s="2"/>
      <c r="F263" s="4"/>
      <c r="G263" t="inlineStr" s="2">
        <is>
          <t xml:space="preserve">Wenn der Zugang zu Informationen zum Engpass wird</t>
        </is>
      </c>
      <c r="H263" t="inlineStr" s="2">
        <is>
          <t xml:space="preserve">Transparenz bedeutet, Informationen zugänglich zu machen</t>
        </is>
      </c>
      <c r="I263" t="inlineStr" s="2">
        <is>
          <t xml:space="preserve">Weniger Informationssuche, mehr Zeit für wichtige Aufgaben</t>
        </is>
      </c>
      <c r="J263" s="4"/>
      <c r="K263" s="2"/>
      <c r="L263" t="str" s="3">
        <f>HYPERLINK("https://www.getinge.com/de/news-und-events/neuigkeiten/gesundheitswesen/mygetinge-einkauf/","/news-und-events/neuigkeiten/gesundheitswesen/mygetinge-einkauf/")</f>
        <v>/news-und-events/neuigkeiten/gesundheitswesen/mygetinge-einkauf/</v>
      </c>
    </row>
    <row r="264">
      <c r="A264" s="0">
        <v>263</v>
      </c>
      <c r="B264" t="str" s="3">
        <f>HYPERLINK("https://www.getinge.com/int/insights/updates/healthcare/mygetinge-procurement/","/insights/updates/healthcare/mygetinge-procurement/")</f>
        <v>/insights/updates/healthcare/mygetinge-procurement/</v>
      </c>
      <c r="C264" t="inlineStr" s="2">
        <is>
          <t xml:space="preserve">Digital access does not change the strategic role of procurement. Procurement teams will continue to manage suppliers, coordinate internal requirements and support purchasing decisions. But it can reduce the time spent searching for information that already exists or answering routine questions that others could resolve themselves.</t>
        </is>
      </c>
      <c r="D264" t="inlineStr" s="2">
        <is>
          <t xml:space="preserve">Der digitale Zugang verändert die strategische Rolle des Einkaufs nicht. Einkaufsteams werden weiterhin Lieferanten steuern, interne Anforderungen koordinieren und Beschaffungsentscheidungen unterstützen. Er kann jedoch den Zeitaufwand reduzieren, der durch die Suche nach bereits vorhandenen Informationen oder die Beantwortung routinemäßiger Fragen entsteht, die andere Beteiligte selbst klären könnten.</t>
        </is>
      </c>
      <c r="E264" t="inlineStr" s="0">
        <is>
          <t xml:space="preserve">Medium</t>
        </is>
      </c>
      <c r="F264" s="4"/>
      <c r="G264" t="inlineStr" s="2">
        <is>
          <t xml:space="preserve">So kann eine einfache Routinefrage eine ganze Reihe von Aktivitäten auslösen: ein Dokument suchen, die bisherige Korrespondenz prüfen, den Lieferanten kontaktieren, den aktuellen Status bestätigen und die Informationen weiterleiten. Auf diese Weise wird der Einkauf zur manuellen Informationsschnittstelle zwischen Lieferanten und den verschiedenen Teams im Krankenhaus.</t>
        </is>
      </c>
      <c r="H264" t="inlineStr" s="2">
        <is>
          <t xml:space="preserve">Für Einkaufsteams bedeutet dies weniger routinemäßige Informationsanfragen und mehr Transparenz über laufende Bestellungen und Prozesse. Für andere Abteilungen bedeutet es einen schnelleren Zugang zu den benötigten Informationen. Für die Organisation als Ganzes unterstützt es transparentere und besser koordinierte Arbeitsweisen.</t>
        </is>
      </c>
      <c r="I264" t="inlineStr" s="2">
        <is>
          <t xml:space="preserve">Ein direkter Zugriff auf Bestellinformationen, Lieferstatus, Rechnungen und zugehörige Dokumente kann die Abhängigkeit von einzelnen E-Mail-Anfragen und routinemäßigen Statusabfragen reduzieren. Gleichzeitig ermöglicht er Einkaufsteams und anderen relevanten Beteiligten, auf Grundlage derselben Informationen zu arbeiten, anstatt auf weitergeleitete Nachrichten oder separate Statusupdates angewiesen zu sein.</t>
        </is>
      </c>
      <c r="J264" s="4"/>
      <c r="K264" s="2"/>
      <c r="L264" t="str" s="3">
        <f>HYPERLINK("https://www.getinge.com/de/news-und-events/neuigkeiten/gesundheitswesen/mygetinge-einkauf/","/news-und-events/neuigkeiten/gesundheitswesen/mygetinge-einkauf/")</f>
        <v>/news-und-events/neuigkeiten/gesundheitswesen/mygetinge-einkauf/</v>
      </c>
    </row>
    <row r="265">
      <c r="A265" s="0">
        <v>264</v>
      </c>
      <c r="B265" t="str" s="3">
        <f>HYPERLINK("https://www.getinge.com/int/insights/updates/healthcare/mygetinge-procurement/","/insights/updates/healthcare/mygetinge-procurement/")</f>
        <v>/insights/updates/healthcare/mygetinge-procurement/</v>
      </c>
      <c r="C265" t="inlineStr" s="2">
        <is>
          <t xml:space="preserve">For procurement teams, this means fewer routine information requests and greater visibility into ongoing orders and processes. For other departments, it means faster access to the information they need. For the organization as a whole, it supports more transparent and coordinated ways of working. Less time spent searching and following up leaves more time for procurement teams to focus on the decisions and activities that require their expertise.</t>
        </is>
      </c>
      <c r="D265" s="2"/>
      <c r="F265" s="4"/>
      <c r="G265" t="inlineStr" s="2">
        <is>
          <t xml:space="preserve">myGetinge, das Kundenportal von Getinge, setzt diesen Ansatz um, indem es die Sendungsverfolgung, Rechnungen, Auftragsbestätigungen und servicebezogene Informationen auf einer digitalen Plattform zusammenführt. Einkaufsteams können den Bestell- und Lieferstatus prüfen, relevante Dokumente abrufen und spezifische Anfragen nachverfolgen, ohne zunächst frühere E-Mail-Korrespondenzen durchsuchen oder auf ein manuelles Statusupdate warten zu müssen.</t>
        </is>
      </c>
      <c r="H265" t="inlineStr" s="2">
        <is>
          <t xml:space="preserve">Der digitale Zugang verändert die strategische Rolle des Einkaufs nicht. Einkaufsteams werden weiterhin Lieferanten steuern, interne Anforderungen koordinieren und Beschaffungsentscheidungen unterstützen. Er kann jedoch den Zeitaufwand reduzieren, der durch die Suche nach bereits vorhandenen Informationen oder die Beantwortung routinemäßiger Fragen entsteht, die andere Beteiligte selbst klären könnten.</t>
        </is>
      </c>
      <c r="I265" t="inlineStr" s="2">
        <is>
          <t xml:space="preserve">Ein direkter Zugriff auf Bestellinformationen, Lieferstatus, Rechnungen und zugehörige Dokumente kann die Abhängigkeit von einzelnen E-Mail-Anfragen und routinemäßigen Statusabfragen reduzieren. Gleichzeitig ermöglicht er Einkaufsteams und anderen relevanten Beteiligten, auf Grundlage derselben Informationen zu arbeiten, anstatt auf weitergeleitete Nachrichten oder separate Statusupdates angewiesen zu sein.</t>
        </is>
      </c>
      <c r="J265" s="4"/>
      <c r="K265" s="2"/>
      <c r="L265" t="str" s="3">
        <f>HYPERLINK("https://www.getinge.com/de/news-und-events/neuigkeiten/gesundheitswesen/mygetinge-einkauf/","/news-und-events/neuigkeiten/gesundheitswesen/mygetinge-einkauf/")</f>
        <v>/news-und-events/neuigkeiten/gesundheitswesen/mygetinge-einkauf/</v>
      </c>
    </row>
    <row r="266">
      <c r="A266" s="0">
        <v>265</v>
      </c>
      <c r="B266" t="str" s="3">
        <f>HYPERLINK("https://www.getinge.com/int/insights/updates/healthcare/nava--the-silent-revolution-in-intensive-care-ventilation/","/insights/updates/healthcare/nava--the-silent-revolution-in-intensive-care-ventilation/")</f>
        <v>/insights/updates/healthcare/nava--the-silent-revolution-in-intensive-care-ventilation/</v>
      </c>
      <c r="C266" t="inlineStr" s="2">
        <is>
          <t xml:space="preserve">Deep or shallow, long or short, with larger or smaller volumes – that is how we breathe naturally. Conventional intensive care ventilation cannot fully replicate this variability. With Getinge’s pioneering NAVA ventilation method (NAVA = Neurally Adjusted Ventilatory Assist), patients can control their own ventilation patterns neurally, allowing a more physiological and natural form of mechanical ventilation.</t>
        </is>
      </c>
      <c r="D266" t="inlineStr" s="2">
        <is>
          <t xml:space="preserve">Kein Atemzug ist gleich. Tiefe und flache sowie lange und kurze Atemzüge, größere und kleinere Volumen. Das ist die Art, wie wir natürlich atmen. Die konventionelle Intensivbeatmung kann dem nicht gerecht werden. Mit der von Getinge entwickelten wegweisenden Beatmungsmethode NAVA können Patienten die Beatmung neuronal selbst steuern und so atmen, wie es für sie richtig ist.</t>
        </is>
      </c>
      <c r="E266" t="inlineStr" s="0">
        <is>
          <t xml:space="preserve">Medium</t>
        </is>
      </c>
      <c r="F266" s="4"/>
      <c r="G266" t="inlineStr" s="2">
        <is>
          <t xml:space="preserve">NAVA ist also ein Beatmungsmodus, bei dem das Timing und die Menge der Beatmungsunterstützung neuronal durch den Patienten gesteuert wird. Nicht das Beatmungsgerät, sondern der Patient selbst reguliert die Beatmung: Einleitung des Atemzugs, Volumen und Länge, Atemfrequenz, Spitzendruck und Beendigung. Das Resultat ist eine perfekte Synchronität zwischen Beatmungsgerät und Patient, sowohl bei invasiver als auch bei nicht-invasiver Beatmung mit Nasenmasken oder Nasenbrillen (NIV-NAVA).</t>
        </is>
      </c>
      <c r="H266" t="inlineStr" s="2">
        <is>
          <t xml:space="preserve">Patienten, die an ein Beatmungsgerät angeschlossen sind, haben in der Regel zunächst ein funktionierendes Zwerchfell, das jedoch schnell schwächer wird, wenn eine Maschine zu lange für sie atmet. Bei herkömmlichen Beatmungsmodi gibt es keine Überwachung der Zwerchfellaktivität. Man weiß also nicht, welche Auswirkungen die Beatmung auf das Zwerchfell hat. Wenn zum Beispiel zu viel Luft in die Lunge gepresst wird, wird der Atemantrieb unterdrückt und das Zwerchfell geschwächt. Das kann zu Problemen führen, wenn es an der Zeit ist, einen Patienten vom Beatmungsgerät zu entwöhnen.</t>
        </is>
      </c>
      <c r="I266" t="inlineStr" s="2">
        <is>
          <t xml:space="preserve">In der multizentrischen, randomisierten, kontrollierten NAVIATOR-Studie konnte durch den Einsatz von NAVA die Dauer der mechanischen Beatmung bei erwachsenen Patienten von 12 auf 8 Tage, also um 4 Tage bzw. 35 % signifikant verkürzt werden. Darüber sind die Vorteile von NAVA sowie NIV-NAVA im Vergleich zu konventionellen Verfahren in zahlreichen Publikationen belegt. Dazu gehören beispielsweise verbesserte Synchronität, reduzierte Atemarbeit WOB, besserer Gasaustausch, weniger Sedierung oder erhöhter Komfort.</t>
        </is>
      </c>
      <c r="J266" s="4"/>
      <c r="K266" s="2"/>
      <c r="L266" t="str" s="3">
        <f>HYPERLINK("https://www.getinge.com/de/news-und-events/neuigkeiten/gesundheitswesen/nava-die-stille-revolution-in-der-intensivbeatmung/","/news-und-events/neuigkeiten/gesundheitswesen/nava-die-stille-revolution-in-der-intensivbeatmung/")</f>
        <v>/news-und-events/neuigkeiten/gesundheitswesen/nava-die-stille-revolution-in-der-intensivbeatmung/</v>
      </c>
    </row>
    <row r="267">
      <c r="A267" s="0">
        <v>266</v>
      </c>
      <c r="B267" t="str" s="3">
        <f>HYPERLINK("https://www.getinge.com/int/insights/updates/healthcare/nava--the-silent-revolution-in-intensive-care-ventilation/","/insights/updates/healthcare/nava--the-silent-revolution-in-intensive-care-ventilation/")</f>
        <v>/insights/updates/healthcare/nava--the-silent-revolution-in-intensive-care-ventilation/</v>
      </c>
      <c r="C267" t="inlineStr" s="2">
        <is>
          <t xml:space="preserve">The patient controls the ventilation</t>
        </is>
      </c>
      <c r="D267" t="inlineStr" s="2">
        <is>
          <t xml:space="preserve">Der Patient steuert die Beatmung selbst</t>
        </is>
      </c>
      <c r="E267" t="inlineStr" s="0">
        <is>
          <t xml:space="preserve">Medium</t>
        </is>
      </c>
      <c r="F267" s="4"/>
      <c r="G267" t="inlineStr" s="2">
        <is>
          <t xml:space="preserve">Nicht mehr nur für, sondern mit dem Patienten atmen</t>
        </is>
      </c>
      <c r="H267" t="inlineStr" s="2">
        <is>
          <t xml:space="preserve">Klinische Wirksamkeit ist belegt</t>
        </is>
      </c>
      <c r="I267" t="inlineStr" s="2">
        <is>
          <t xml:space="preserve">Erfahren Sie mehr über NAVA.</t>
        </is>
      </c>
      <c r="J267" s="4"/>
      <c r="K267" s="2"/>
      <c r="L267" t="str" s="3">
        <f>HYPERLINK("https://www.getinge.com/de/news-und-events/neuigkeiten/gesundheitswesen/nava-die-stille-revolution-in-der-intensivbeatmung/","/news-und-events/neuigkeiten/gesundheitswesen/nava-die-stille-revolution-in-der-intensivbeatmung/")</f>
        <v>/news-und-events/neuigkeiten/gesundheitswesen/nava-die-stille-revolution-in-der-intensivbeatmung/</v>
      </c>
    </row>
    <row r="268">
      <c r="A268" s="0">
        <v>267</v>
      </c>
      <c r="B268" t="str" s="3">
        <f>HYPERLINK("https://www.getinge.com/int/insights/updates/healthcare/nava--the-silent-revolution-in-intensive-care-ventilation/","/insights/updates/healthcare/nava--the-silent-revolution-in-intensive-care-ventilation/")</f>
        <v>/insights/updates/healthcare/nava--the-silent-revolution-in-intensive-care-ventilation/</v>
      </c>
      <c r="C268" t="inlineStr" s="2">
        <is>
          <t xml:space="preserve">Natural breathing is initiated by the respiratory center in the brain and mainly accomplished by the diaphragm, the main muscle responsible for breathing. When the diaphragm contracts, we inhale; when it relaxes, we exhale. This is where the concept of neurally controlled ventilation support comes into play.</t>
        </is>
      </c>
      <c r="D268" s="2"/>
      <c r="F268" s="4"/>
      <c r="G268" t="inlineStr" s="2">
        <is>
          <t xml:space="preserve">Kein Atemzug ist gleich. Tiefe und flache sowie lange und kurze Atemzüge, größere und kleinere Volumen. Das ist die Art, wie wir natürlich atmen. Die konventionelle Intensivbeatmung kann dem nicht gerecht werden. Mit der von Getinge entwickelten wegweisenden Beatmungsmethode NAVA können Patienten die Beatmung neuronal selbst steuern und so atmen, wie es für sie richtig ist.</t>
        </is>
      </c>
      <c r="H268" t="inlineStr" s="2">
        <is>
          <t xml:space="preserve">NAVA ist also ein Beatmungsmodus, bei dem das Timing und die Menge der Beatmungsunterstützung neuronal durch den Patienten gesteuert wird. Nicht das Beatmungsgerät, sondern der Patient selbst reguliert die Beatmung: Einleitung des Atemzugs, Volumen und Länge, Atemfrequenz, Spitzendruck und Beendigung. Das Resultat ist eine perfekte Synchronität zwischen Beatmungsgerät und Patient, sowohl bei invasiver als auch bei nicht-invasiver Beatmung mit Nasenmasken oder Nasenbrillen (NIV-NAVA).</t>
        </is>
      </c>
      <c r="I268" t="inlineStr" s="2">
        <is>
          <t xml:space="preserve">Die natürliche Atmung wird über das Atemzentrum im Gehirn ausgelöst und über das Zwerchfell eingeleitet. Das Zwerchfell ist ein Muskel. Wenn es sich zusammenzieht, atmen wir ein, wenn es sich entspannt, atmen wir aus. Hier setzt das Konzept der neural regulierten Beatmungsunterstützung an. NAVA (Neurally Adjusted Ventilatory Assist) misst die Atemimpulse mit Hilfe eines Katheters, der in den Magen eingeführt wird und sich in der Nähe des Zwerchfells befindet. Die Elektroden am Katheter messen die Kontraktionen des Zwerchfells. Dies führt zu einem fast sofortigen Signal, dass der Patient atmen möchte. Synchron dazu liefert das Beatmungsgerät Luft. Wenn die Elektroden das Ende der Zwerchfellkontraktionen messen, erlaubt das Beatmungsgerät die Ausatmung.</t>
        </is>
      </c>
      <c r="J268" s="4"/>
      <c r="K268" s="2"/>
      <c r="L268" t="str" s="3">
        <f>HYPERLINK("https://www.getinge.com/de/news-und-events/neuigkeiten/gesundheitswesen/nava-die-stille-revolution-in-der-intensivbeatmung/","/news-und-events/neuigkeiten/gesundheitswesen/nava-die-stille-revolution-in-der-intensivbeatmung/")</f>
        <v>/news-und-events/neuigkeiten/gesundheitswesen/nava-die-stille-revolution-in-der-intensivbeatmung/</v>
      </c>
    </row>
    <row r="269">
      <c r="A269" s="0">
        <v>268</v>
      </c>
      <c r="B269" t="str" s="3">
        <f>HYPERLINK("https://www.getinge.com/int/insights/updates/healthcare/nava--the-silent-revolution-in-intensive-care-ventilation/","/insights/updates/healthcare/nava--the-silent-revolution-in-intensive-care-ventilation/")</f>
        <v>/insights/updates/healthcare/nava--the-silent-revolution-in-intensive-care-ventilation/</v>
      </c>
      <c r="C269" t="inlineStr" s="2">
        <is>
          <t xml:space="preserve">NAVA measures the patient’s respiratory impulses using an Edi catheter, which is inserted into the stomach and positioned near the diaphragm. The electrodes on the catheter measure the electrical activity of the diaphragm and send a real-time signal indicating that the patient wants to breathe. The ventilator then delivers air and oxygen in synchrony with this Edi signal. When the electrodes detect that the diaphragm’s activity has ended, the ventilator allows exhalation.</t>
        </is>
      </c>
      <c r="D269" s="2"/>
      <c r="F269" s="4"/>
      <c r="G269" t="inlineStr" s="2">
        <is>
          <t xml:space="preserve">NAVA ist also ein Beatmungsmodus, bei dem das Timing und die Menge der Beatmungsunterstützung neuronal durch den Patienten gesteuert wird. Nicht das Beatmungsgerät, sondern der Patient selbst reguliert die Beatmung: Einleitung des Atemzugs, Volumen und Länge, Atemfrequenz, Spitzendruck und Beendigung. Das Resultat ist eine perfekte Synchronität zwischen Beatmungsgerät und Patient, sowohl bei invasiver als auch bei nicht-invasiver Beatmung mit Nasenmasken oder Nasenbrillen (NIV-NAVA).</t>
        </is>
      </c>
      <c r="H269" t="inlineStr" s="2">
        <is>
          <t xml:space="preserve">Bei NAVA wird die Zwerchfellaktivität überwacht und eine rechtzeitige Reaktion auf sich ändernde Atmungsbedingungen sichergestellt. Die Synchronität des Beatmungsgeräts mit dem Patienten trägt nicht nur dazu bei, die Zwerchfellmuskeln aktiv zu halten, sondern bedeutet auch, dass die Patienten nicht gegen das Beatmungsgerät ankämpfen müssen. Um dies zu verhindern, müssen Erwachsene normalerweise stark sediert werden. Mit NAVA können Ärzte die Sedierung reduzieren, was eine frühere Entwöhnung mit weniger Komplikationen ermöglicht. NAVA gibt dem Arzt die Möglichkeit, nicht nur die Beatmung, sondern auch den Entwöhnungsprozess individuell zu gestalten.</t>
        </is>
      </c>
      <c r="I269" t="inlineStr" s="2">
        <is>
          <t xml:space="preserve">Patienten, die an ein Beatmungsgerät angeschlossen sind, haben in der Regel zunächst ein funktionierendes Zwerchfell, das jedoch schnell schwächer wird, wenn eine Maschine zu lange für sie atmet. Bei herkömmlichen Beatmungsmodi gibt es keine Überwachung der Zwerchfellaktivität. Man weiß also nicht, welche Auswirkungen die Beatmung auf das Zwerchfell hat. Wenn zum Beispiel zu viel Luft in die Lunge gepresst wird, wird der Atemantrieb unterdrückt und das Zwerchfell geschwächt. Das kann zu Problemen führen, wenn es an der Zeit ist, einen Patienten vom Beatmungsgerät zu entwöhnen.</t>
        </is>
      </c>
      <c r="J269" s="4"/>
      <c r="K269" s="2"/>
      <c r="L269" t="str" s="3">
        <f>HYPERLINK("https://www.getinge.com/de/news-und-events/neuigkeiten/gesundheitswesen/nava-die-stille-revolution-in-der-intensivbeatmung/","/news-und-events/neuigkeiten/gesundheitswesen/nava-die-stille-revolution-in-der-intensivbeatmung/")</f>
        <v>/news-und-events/neuigkeiten/gesundheitswesen/nava-die-stille-revolution-in-der-intensivbeatmung/</v>
      </c>
    </row>
    <row r="270">
      <c r="A270" s="0">
        <v>269</v>
      </c>
      <c r="B270" t="str" s="3">
        <f>HYPERLINK("https://www.getinge.com/int/insights/updates/healthcare/nava--the-silent-revolution-in-intensive-care-ventilation/","/insights/updates/healthcare/nava--the-silent-revolution-in-intensive-care-ventilation/")</f>
        <v>/insights/updates/healthcare/nava--the-silent-revolution-in-intensive-care-ventilation/</v>
      </c>
      <c r="C270" t="inlineStr" s="2">
        <is>
          <t xml:space="preserve">NAVA is thus a ventilation mode in which both the timing and the level of support are controlled neurally by the patient. It is not the ventilator but primarily the patient who controls the ventilation: the initiation of each breath, tidal volume, and termination. The result is improved synchrony between patient and ventilator – in both invasive NAVA and non-invasive NAVA (NIV NAVA).</t>
        </is>
      </c>
      <c r="D270" t="inlineStr" s="2">
        <is>
          <t xml:space="preserve">NAVA ist also ein Beatmungsmodus, bei dem das Timing und die Menge der Beatmungsunterstützung neuronal durch den Patienten gesteuert wird. Nicht das Beatmungsgerät, sondern der Patient selbst reguliert die Beatmung: Einleitung des Atemzugs, Volumen und Länge, Atemfrequenz, Spitzendruck und Beendigung. Das Resultat ist eine perfekte Synchronität zwischen Beatmungsgerät und Patient, sowohl bei invasiver als auch bei nicht-invasiver Beatmung mit Nasenmasken oder Nasenbrillen (NIV-NAVA).</t>
        </is>
      </c>
      <c r="E270" t="inlineStr" s="0">
        <is>
          <t xml:space="preserve">Medium</t>
        </is>
      </c>
      <c r="F270" s="4"/>
      <c r="G270" t="inlineStr" s="2">
        <is>
          <t xml:space="preserve">Kein Atemzug ist gleich. Tiefe und flache sowie lange und kurze Atemzüge, größere und kleinere Volumen. Das ist die Art, wie wir natürlich atmen. Die konventionelle Intensivbeatmung kann dem nicht gerecht werden. Mit der von Getinge entwickelten wegweisenden Beatmungsmethode NAVA können Patienten die Beatmung neuronal selbst steuern und so atmen, wie es für sie richtig ist.</t>
        </is>
      </c>
      <c r="H270" t="inlineStr" s="2">
        <is>
          <t xml:space="preserve">In der multizentrischen, randomisierten, kontrollierten NAVIATOR-Studie konnte durch den Einsatz von NAVA die Dauer der mechanischen Beatmung bei erwachsenen Patienten von 12 auf 8 Tage, also um 4 Tage bzw. 35 % signifikant verkürzt werden. Darüber sind die Vorteile von NAVA sowie NIV-NAVA im Vergleich zu konventionellen Verfahren in zahlreichen Publikationen belegt. Dazu gehören beispielsweise verbesserte Synchronität, reduzierte Atemarbeit WOB, besserer Gasaustausch, weniger Sedierung oder erhöhter Komfort.</t>
        </is>
      </c>
      <c r="I270" t="inlineStr" s="2">
        <is>
          <t xml:space="preserve">Patienten, die an ein Beatmungsgerät angeschlossen sind, haben in der Regel zunächst ein funktionierendes Zwerchfell, das jedoch schnell schwächer wird, wenn eine Maschine zu lange für sie atmet. Bei herkömmlichen Beatmungsmodi gibt es keine Überwachung der Zwerchfellaktivität. Man weiß also nicht, welche Auswirkungen die Beatmung auf das Zwerchfell hat. Wenn zum Beispiel zu viel Luft in die Lunge gepresst wird, wird der Atemantrieb unterdrückt und das Zwerchfell geschwächt. Das kann zu Problemen führen, wenn es an der Zeit ist, einen Patienten vom Beatmungsgerät zu entwöhnen.</t>
        </is>
      </c>
      <c r="J270" s="4"/>
      <c r="K270" s="2"/>
      <c r="L270" t="str" s="3">
        <f>HYPERLINK("https://www.getinge.com/de/news-und-events/neuigkeiten/gesundheitswesen/nava-die-stille-revolution-in-der-intensivbeatmung/","/news-und-events/neuigkeiten/gesundheitswesen/nava-die-stille-revolution-in-der-intensivbeatmung/")</f>
        <v>/news-und-events/neuigkeiten/gesundheitswesen/nava-die-stille-revolution-in-der-intensivbeatmung/</v>
      </c>
    </row>
    <row r="271">
      <c r="A271" s="0">
        <v>270</v>
      </c>
      <c r="B271" t="str" s="3">
        <f>HYPERLINK("https://www.getinge.com/int/insights/updates/healthcare/nava--the-silent-revolution-in-intensive-care-ventilation/","/insights/updates/healthcare/nava--the-silent-revolution-in-intensive-care-ventilation/")</f>
        <v>/insights/updates/healthcare/nava--the-silent-revolution-in-intensive-care-ventilation/</v>
      </c>
      <c r="C271" t="inlineStr" s="2">
        <is>
          <t xml:space="preserve">No longer just breathing for the patient, but with the patient</t>
        </is>
      </c>
      <c r="D271" t="inlineStr" s="2">
        <is>
          <t xml:space="preserve">Nicht mehr nur für, sondern mit dem Patienten atmen</t>
        </is>
      </c>
      <c r="E271" t="inlineStr" s="0">
        <is>
          <t xml:space="preserve">Low</t>
        </is>
      </c>
      <c r="F271" s="4"/>
      <c r="G271" t="inlineStr" s="2">
        <is>
          <t xml:space="preserve">Der Patient steuert die Beatmung selbst</t>
        </is>
      </c>
      <c r="H271" s="2"/>
      <c r="I271" s="2"/>
      <c r="J271" s="4"/>
      <c r="K271" s="2"/>
      <c r="L271" t="str" s="3">
        <f>HYPERLINK("https://www.getinge.com/de/news-und-events/neuigkeiten/gesundheitswesen/nava-die-stille-revolution-in-der-intensivbeatmung/","/news-und-events/neuigkeiten/gesundheitswesen/nava-die-stille-revolution-in-der-intensivbeatmung/")</f>
        <v>/news-und-events/neuigkeiten/gesundheitswesen/nava-die-stille-revolution-in-der-intensivbeatmung/</v>
      </c>
    </row>
    <row r="272">
      <c r="A272" s="0">
        <v>271</v>
      </c>
      <c r="B272" t="str" s="3">
        <f>HYPERLINK("https://www.getinge.com/int/insights/updates/healthcare/nava--the-silent-revolution-in-intensive-care-ventilation/","/insights/updates/healthcare/nava--the-silent-revolution-in-intensive-care-ventilation/")</f>
        <v>/insights/updates/healthcare/nava--the-silent-revolution-in-intensive-care-ventilation/</v>
      </c>
      <c r="C272" t="inlineStr" s="2">
        <is>
          <t xml:space="preserve">Clinical efficacy proven</t>
        </is>
      </c>
      <c r="D272" t="inlineStr" s="2">
        <is>
          <t xml:space="preserve">Klinische Wirksamkeit ist belegt</t>
        </is>
      </c>
      <c r="E272" t="inlineStr" s="0">
        <is>
          <t xml:space="preserve">Medium</t>
        </is>
      </c>
      <c r="F272" s="4"/>
      <c r="G272" t="inlineStr" s="2">
        <is>
          <t xml:space="preserve">Erfahren Sie mehr über NAVA.</t>
        </is>
      </c>
      <c r="H272" t="inlineStr" s="2">
        <is>
          <t xml:space="preserve">Der Patient steuert die Beatmung selbst</t>
        </is>
      </c>
      <c r="I272" t="inlineStr" s="2">
        <is>
          <t xml:space="preserve">Arzt rettet 258 Gramm Baby</t>
        </is>
      </c>
      <c r="J272" s="4"/>
      <c r="K272" s="2"/>
      <c r="L272" t="str" s="3">
        <f>HYPERLINK("https://www.getinge.com/de/news-und-events/neuigkeiten/gesundheitswesen/nava-die-stille-revolution-in-der-intensivbeatmung/","/news-und-events/neuigkeiten/gesundheitswesen/nava-die-stille-revolution-in-der-intensivbeatmung/")</f>
        <v>/news-und-events/neuigkeiten/gesundheitswesen/nava-die-stille-revolution-in-der-intensivbeatmung/</v>
      </c>
    </row>
    <row r="273">
      <c r="A273" s="0">
        <v>272</v>
      </c>
      <c r="B273" t="str" s="3">
        <f>HYPERLINK("https://www.getinge.com/int/insights/updates/healthcare/nava--the-silent-revolution-in-intensive-care-ventilation/","/insights/updates/healthcare/nava--the-silent-revolution-in-intensive-care-ventilation/")</f>
        <v>/insights/updates/healthcare/nava--the-silent-revolution-in-intensive-care-ventilation/</v>
      </c>
      <c r="C273" t="inlineStr" s="2">
        <is>
          <t xml:space="preserve">The efficacy and clinical applicability of NAVA have been documented in a large body of peer-reviewed research across diverse clinical settings. The evidence shows that NAVA can help reduce complications [1] [2] [3] [4], allow monitoring and reduction of sedation [5] [6] [7] [8], achieve earlier and more successful weaning [9] [10] [11] [12] [13], and shorten the duration of mechanical ventilation [7] [8] [9].</t>
        </is>
      </c>
      <c r="D273" s="2"/>
      <c r="F273" s="4"/>
      <c r="G273" t="inlineStr" s="2">
        <is>
          <t xml:space="preserve">In der multizentrischen, randomisierten, kontrollierten NAVIATOR-Studie konnte durch den Einsatz von NAVA die Dauer der mechanischen Beatmung bei erwachsenen Patienten von 12 auf 8 Tage, also um 4 Tage bzw. 35 % signifikant verkürzt werden. Darüber sind die Vorteile von NAVA sowie NIV-NAVA im Vergleich zu konventionellen Verfahren in zahlreichen Publikationen belegt. Dazu gehören beispielsweise verbesserte Synchronität, reduzierte Atemarbeit WOB, besserer Gasaustausch, weniger Sedierung oder erhöhter Komfort.</t>
        </is>
      </c>
      <c r="H273" t="inlineStr" s="2">
        <is>
          <t xml:space="preserve">NAVA ist also ein Beatmungsmodus, bei dem das Timing und die Menge der Beatmungsunterstützung neuronal durch den Patienten gesteuert wird. Nicht das Beatmungsgerät, sondern der Patient selbst reguliert die Beatmung: Einleitung des Atemzugs, Volumen und Länge, Atemfrequenz, Spitzendruck und Beendigung. Das Resultat ist eine perfekte Synchronität zwischen Beatmungsgerät und Patient, sowohl bei invasiver als auch bei nicht-invasiver Beatmung mit Nasenmasken oder Nasenbrillen (NIV-NAVA).</t>
        </is>
      </c>
      <c r="I273" t="inlineStr" s="2">
        <is>
          <t xml:space="preserve">Im Kinderkrankenhaus von Nagano (Japan) überlebte ein Baby mit nur 258 Gramm nach einer Schwangerschaftsdauer von über 25 Wochen. Für den behandelnden Arzt, Dr. Ryo Itoshima, spielte NIV-NAVA eine entscheidende Rolle bei der Lungenentwicklung: „Die NIV-NAVA unterstützte die eigene Atmung des Babys gut und half ihm bei der Gewichtszunahme und der Lungenentwicklung, insbesondere nach der Extubation. Ohne die NIV-NAVA hätte das Baby sicherlich eine Reintubation benötigt und der Lungenschaden wäre viel größer.“</t>
        </is>
      </c>
      <c r="J273" s="4"/>
      <c r="K273" s="2"/>
      <c r="L273" t="str" s="3">
        <f>HYPERLINK("https://www.getinge.com/de/news-und-events/neuigkeiten/gesundheitswesen/nava-die-stille-revolution-in-der-intensivbeatmung/","/news-und-events/neuigkeiten/gesundheitswesen/nava-die-stille-revolution-in-der-intensivbeatmung/")</f>
        <v>/news-und-events/neuigkeiten/gesundheitswesen/nava-die-stille-revolution-in-der-intensivbeatmung/</v>
      </c>
    </row>
    <row r="274">
      <c r="A274" s="0">
        <v>273</v>
      </c>
      <c r="B274" t="str" s="3">
        <f>HYPERLINK("https://www.getinge.com/int/insights/updates/healthcare/nava--the-silent-revolution-in-intensive-care-ventilation/","/insights/updates/healthcare/nava--the-silent-revolution-in-intensive-care-ventilation/")</f>
        <v>/insights/updates/healthcare/nava--the-silent-revolution-in-intensive-care-ventilation/</v>
      </c>
      <c r="C274" t="inlineStr" s="2">
        <is>
          <t xml:space="preserve">For example, the independent multicenter NAVIATOR trial confirmed that NAVA significantly increases ventilator-free days compared to conventional ventilation. In adult patients with acute respiratory failure, the use of NAVA reduced the duration of mechanical ventilation from 12 to 8 days—a reduction of about 35 % [9].</t>
        </is>
      </c>
      <c r="D274" s="2"/>
      <c r="F274" s="4"/>
      <c r="G274" t="inlineStr" s="2">
        <is>
          <t xml:space="preserve">Kein Atemzug ist gleich. Tiefe und flache sowie lange und kurze Atemzüge, größere und kleinere Volumen. Das ist die Art, wie wir natürlich atmen. Die konventionelle Intensivbeatmung kann dem nicht gerecht werden. Mit der von Getinge entwickelten wegweisenden Beatmungsmethode NAVA können Patienten die Beatmung neuronal selbst steuern und so atmen, wie es für sie richtig ist.</t>
        </is>
      </c>
      <c r="H274" t="inlineStr" s="2">
        <is>
          <t xml:space="preserve">In der multizentrischen, randomisierten, kontrollierten NAVIATOR-Studie konnte durch den Einsatz von NAVA die Dauer der mechanischen Beatmung bei erwachsenen Patienten von 12 auf 8 Tage, also um 4 Tage bzw. 35 % signifikant verkürzt werden. Darüber sind die Vorteile von NAVA sowie NIV-NAVA im Vergleich zu konventionellen Verfahren in zahlreichen Publikationen belegt. Dazu gehören beispielsweise verbesserte Synchronität, reduzierte Atemarbeit WOB, besserer Gasaustausch, weniger Sedierung oder erhöhter Komfort.</t>
        </is>
      </c>
      <c r="I274" t="inlineStr" s="2">
        <is>
          <t xml:space="preserve">NAVA ist also ein Beatmungsmodus, bei dem das Timing und die Menge der Beatmungsunterstützung neuronal durch den Patienten gesteuert wird. Nicht das Beatmungsgerät, sondern der Patient selbst reguliert die Beatmung: Einleitung des Atemzugs, Volumen und Länge, Atemfrequenz, Spitzendruck und Beendigung. Das Resultat ist eine perfekte Synchronität zwischen Beatmungsgerät und Patient, sowohl bei invasiver als auch bei nicht-invasiver Beatmung mit Nasenmasken oder Nasenbrillen (NIV-NAVA).</t>
        </is>
      </c>
      <c r="J274" s="4"/>
      <c r="K274" s="2"/>
      <c r="L274" t="str" s="3">
        <f>HYPERLINK("https://www.getinge.com/de/news-und-events/neuigkeiten/gesundheitswesen/nava-die-stille-revolution-in-der-intensivbeatmung/","/news-und-events/neuigkeiten/gesundheitswesen/nava-die-stille-revolution-in-der-intensivbeatmung/")</f>
        <v>/news-und-events/neuigkeiten/gesundheitswesen/nava-die-stille-revolution-in-der-intensivbeatmung/</v>
      </c>
    </row>
    <row r="275">
      <c r="A275" s="0">
        <v>274</v>
      </c>
      <c r="B275" t="str" s="3">
        <f>HYPERLINK("https://www.getinge.com/int/insights/updates/healthcare/nava--the-silent-revolution-in-intensive-care-ventilation/","/insights/updates/healthcare/nava--the-silent-revolution-in-intensive-care-ventilation/")</f>
        <v>/insights/updates/healthcare/nava--the-silent-revolution-in-intensive-care-ventilation/</v>
      </c>
      <c r="C275" t="inlineStr" s="2">
        <is>
          <t xml:space="preserve">Doctor supports neonatal ventilation advances</t>
        </is>
      </c>
      <c r="D275" s="2"/>
      <c r="F275" s="4"/>
      <c r="G275" t="inlineStr" s="2">
        <is>
          <t xml:space="preserve">Nicht mehr nur für, sondern mit dem Patienten atmen</t>
        </is>
      </c>
      <c r="H275" t="inlineStr" s="2">
        <is>
          <t xml:space="preserve">Der Patient steuert die Beatmung selbst</t>
        </is>
      </c>
      <c r="I275" t="inlineStr" s="2">
        <is>
          <t xml:space="preserve">Klinische Wirksamkeit ist belegt</t>
        </is>
      </c>
      <c r="J275" s="4"/>
      <c r="K275" s="2"/>
      <c r="L275" t="str" s="3">
        <f>HYPERLINK("https://www.getinge.com/de/news-und-events/neuigkeiten/gesundheitswesen/nava-die-stille-revolution-in-der-intensivbeatmung/","/news-und-events/neuigkeiten/gesundheitswesen/nava-die-stille-revolution-in-der-intensivbeatmung/")</f>
        <v>/news-und-events/neuigkeiten/gesundheitswesen/nava-die-stille-revolution-in-der-intensivbeatmung/</v>
      </c>
    </row>
    <row r="276">
      <c r="A276" s="0">
        <v>275</v>
      </c>
      <c r="B276" t="str" s="3">
        <f>HYPERLINK("https://www.getinge.com/int/insights/updates/healthcare/nava--the-silent-revolution-in-intensive-care-ventilation/","/insights/updates/healthcare/nava--the-silent-revolution-in-intensive-care-ventilation/")</f>
        <v>/insights/updates/healthcare/nava--the-silent-revolution-in-intensive-care-ventilation/</v>
      </c>
      <c r="C276" t="inlineStr" s="2">
        <is>
          <t xml:space="preserve">In neonatal intensive care, ventilating premature infants remains one of the greatest challenges. Their lungs are fragile and not yet fully developed, and synchronizing mechanical ventilation with the infant’s own breathing effort can be difficult.</t>
        </is>
      </c>
      <c r="D276" s="2"/>
      <c r="F276" s="4"/>
      <c r="G276" t="inlineStr" s="2">
        <is>
          <t xml:space="preserve">Kein Atemzug ist gleich. Tiefe und flache sowie lange und kurze Atemzüge, größere und kleinere Volumen. Das ist die Art, wie wir natürlich atmen. Die konventionelle Intensivbeatmung kann dem nicht gerecht werden. Mit der von Getinge entwickelten wegweisenden Beatmungsmethode NAVA können Patienten die Beatmung neuronal selbst steuern und so atmen, wie es für sie richtig ist.</t>
        </is>
      </c>
      <c r="H276" t="inlineStr" s="2">
        <is>
          <t xml:space="preserve">NAVA ist also ein Beatmungsmodus, bei dem das Timing und die Menge der Beatmungsunterstützung neuronal durch den Patienten gesteuert wird. Nicht das Beatmungsgerät, sondern der Patient selbst reguliert die Beatmung: Einleitung des Atemzugs, Volumen und Länge, Atemfrequenz, Spitzendruck und Beendigung. Das Resultat ist eine perfekte Synchronität zwischen Beatmungsgerät und Patient, sowohl bei invasiver als auch bei nicht-invasiver Beatmung mit Nasenmasken oder Nasenbrillen (NIV-NAVA).</t>
        </is>
      </c>
      <c r="I276" s="2"/>
      <c r="J276" s="4"/>
      <c r="K276" s="2"/>
      <c r="L276" t="str" s="3">
        <f>HYPERLINK("https://www.getinge.com/de/news-und-events/neuigkeiten/gesundheitswesen/nava-die-stille-revolution-in-der-intensivbeatmung/","/news-und-events/neuigkeiten/gesundheitswesen/nava-die-stille-revolution-in-der-intensivbeatmung/")</f>
        <v>/news-und-events/neuigkeiten/gesundheitswesen/nava-die-stille-revolution-in-der-intensivbeatmung/</v>
      </c>
    </row>
    <row r="277">
      <c r="A277" s="0">
        <v>276</v>
      </c>
      <c r="B277" t="str" s="3">
        <f>HYPERLINK("https://www.getinge.com/int/insights/updates/healthcare/nava--the-silent-revolution-in-intensive-care-ventilation/","/insights/updates/healthcare/nava--the-silent-revolution-in-intensive-care-ventilation/")</f>
        <v>/insights/updates/healthcare/nava--the-silent-revolution-in-intensive-care-ventilation/</v>
      </c>
      <c r="C277" t="inlineStr" s="2">
        <is>
          <t xml:space="preserve">In Banská Bystrica, Slovakia, clinicians applied NAVA with diaphragm monitoring (Edi) for the first time in 2021 in a premature infant with severe bronchopulmonary dysplasia (BPD). The baby’s condition improved, and before transfer, she was on spontaneous ventilation. Since then, the team has treated 34 infants with NAVA and continued using the Edi catheter beyond the conventional transition period, as the monitoring provided valuable information. (Read more)</t>
        </is>
      </c>
      <c r="D277" s="2"/>
      <c r="F277" s="4"/>
      <c r="G277" t="inlineStr" s="2">
        <is>
          <t xml:space="preserve">In der multizentrischen, randomisierten, kontrollierten NAVIATOR-Studie konnte durch den Einsatz von NAVA die Dauer der mechanischen Beatmung bei erwachsenen Patienten von 12 auf 8 Tage, also um 4 Tage bzw. 35 % signifikant verkürzt werden. Darüber sind die Vorteile von NAVA sowie NIV-NAVA im Vergleich zu konventionellen Verfahren in zahlreichen Publikationen belegt. Dazu gehören beispielsweise verbesserte Synchronität, reduzierte Atemarbeit WOB, besserer Gasaustausch, weniger Sedierung oder erhöhter Komfort.</t>
        </is>
      </c>
      <c r="H277" t="inlineStr" s="2">
        <is>
          <t xml:space="preserve">NAVA ist also ein Beatmungsmodus, bei dem das Timing und die Menge der Beatmungsunterstützung neuronal durch den Patienten gesteuert wird. Nicht das Beatmungsgerät, sondern der Patient selbst reguliert die Beatmung: Einleitung des Atemzugs, Volumen und Länge, Atemfrequenz, Spitzendruck und Beendigung. Das Resultat ist eine perfekte Synchronität zwischen Beatmungsgerät und Patient, sowohl bei invasiver als auch bei nicht-invasiver Beatmung mit Nasenmasken oder Nasenbrillen (NIV-NAVA).</t>
        </is>
      </c>
      <c r="I277" t="inlineStr" s="2">
        <is>
          <t xml:space="preserve">Im Kinderkrankenhaus von Nagano (Japan) überlebte ein Baby mit nur 258 Gramm nach einer Schwangerschaftsdauer von über 25 Wochen. Für den behandelnden Arzt, Dr. Ryo Itoshima, spielte NIV-NAVA eine entscheidende Rolle bei der Lungenentwicklung: „Die NIV-NAVA unterstützte die eigene Atmung des Babys gut und half ihm bei der Gewichtszunahme und der Lungenentwicklung, insbesondere nach der Extubation. Ohne die NIV-NAVA hätte das Baby sicherlich eine Reintubation benötigt und der Lungenschaden wäre viel größer.“</t>
        </is>
      </c>
      <c r="J277" s="4"/>
      <c r="K277" s="2"/>
      <c r="L277" t="str" s="3">
        <f>HYPERLINK("https://www.getinge.com/de/news-und-events/neuigkeiten/gesundheitswesen/nava-die-stille-revolution-in-der-intensivbeatmung/","/news-und-events/neuigkeiten/gesundheitswesen/nava-die-stille-revolution-in-der-intensivbeatmung/")</f>
        <v>/news-und-events/neuigkeiten/gesundheitswesen/nava-die-stille-revolution-in-der-intensivbeatmung/</v>
      </c>
    </row>
    <row r="278">
      <c r="A278" s="0">
        <v>277</v>
      </c>
      <c r="B278" t="str" s="3">
        <f>HYPERLINK("https://www.getinge.com/int/insights/updates/healthcare/optimizing-equipment-uptime/","/insights/updates/healthcare/optimizing-equipment-uptime/")</f>
        <v>/insights/updates/healthcare/optimizing-equipment-uptime/</v>
      </c>
      <c r="C278" t="inlineStr" s="2">
        <is>
          <t xml:space="preserve">Ensuring patient safety and uninterrupted care while maintaining economic efficiency is a core responsibility of hospital operations. Medical technology therefore needs to be reliable, durable, and available when required. There are four key factors that significantly influence the overall uptime of medical equipment.</t>
        </is>
      </c>
      <c r="D278" t="inlineStr" s="2">
        <is>
          <t xml:space="preserve">Die Gewährleistung von Patientensicherheit und einer unterbrechungsfreien Versorgung bei gleichzeitiger wirtschaftlicher Effizienz gehört zu den zentralen Aufgaben im Krankenhausbetrieb. Medizintechnik muss daher zuverlässig, langlebig und jederzeit einsatzbereit sein. Vier wesentliche Faktoren beeinflussen die Verfügbarkeit medizintechnischer Geräte maßgeblich.</t>
        </is>
      </c>
      <c r="E278" t="inlineStr" s="0">
        <is>
          <t xml:space="preserve">Medium</t>
        </is>
      </c>
      <c r="F278" s="4"/>
      <c r="G278" t="inlineStr" s="2">
        <is>
          <t xml:space="preserve">Wiederkehrende technische Probleme und Ausfälle wirken sich direkt auf Krankenhausabläufe und die betriebliche Effizienz aus. Eine steigende Anzahl von Reparaturen führt zu längeren Ausfallzeiten und häufigeren Serviceeinsätzen. Darüber hinaus verursachen ungeplante Reparaturen oft unerwartete Kosten und belasten die ohnehin knappen Budgets von Krankenhäusern zusätzlich.</t>
        </is>
      </c>
      <c r="H278" t="inlineStr" s="2">
        <is>
          <t xml:space="preserve">Ein entscheidender Faktor bei der Auswahl eines geeigneten Servicepartners ist die Qualität der Serviceleistungen. Dazu gehören der Einsatz von neuen Originalersatzteilen mit vollständiger Rückverfolgbarkeit entlang der Lieferkette, eine lückenlose Servicedokumentation, die Verwendung geeigneter Werkzeuge sowie die kontinuierliche Schulung und Kompetenzbewertung der Servicetechniker.</t>
        </is>
      </c>
      <c r="I278" t="inlineStr" s="2">
        <is>
          <t xml:space="preserve">Getinge verfügt beispielsweise über exklusiven Zugang zu Originalersatzteilen, Spezialwerkzeugen und speziell geschulten Servicetechnikern. Dadurch können wir den Bedarf an Ersatzteilen sowie die geografische Verteilung der installierten Geräte kontinuierlich analysieren und sicherstellen, dass qualifizierte Techniker zeitnah verfügbar sind, um unsere Kunden bestmöglich zu unterstützen.“</t>
        </is>
      </c>
      <c r="J278" s="4"/>
      <c r="K278" s="2"/>
      <c r="L278" t="str" s="3">
        <f>HYPERLINK("https://www.getinge.com/de/news-und-events/neuigkeiten/gesundheitswesen/geraeteverfuegbarkeit-optimieren/","/news-und-events/neuigkeiten/gesundheitswesen/geraeteverfuegbarkeit-optimieren/")</f>
        <v>/news-und-events/neuigkeiten/gesundheitswesen/geraeteverfuegbarkeit-optimieren/</v>
      </c>
    </row>
    <row r="279">
      <c r="A279" s="0">
        <v>278</v>
      </c>
      <c r="B279" t="str" s="3">
        <f>HYPERLINK("https://www.getinge.com/int/insights/updates/healthcare/optimizing-equipment-uptime/","/insights/updates/healthcare/optimizing-equipment-uptime/")</f>
        <v>/insights/updates/healthcare/optimizing-equipment-uptime/</v>
      </c>
      <c r="C279" t="inlineStr" s="2">
        <is>
          <t xml:space="preserve">Repeated technical issues and breakdowns directly impact hospital operations and efficiency. Increased repair volume leads to longer downtime and requires more frequent interventions. Additionally, unplanned repairs often result in unexpected costs, placing further strain on hospital budgets.</t>
        </is>
      </c>
      <c r="D279" t="inlineStr" s="2">
        <is>
          <t xml:space="preserve">Wiederkehrende technische Probleme und Ausfälle wirken sich direkt auf Krankenhausabläufe und die betriebliche Effizienz aus. Eine steigende Anzahl von Reparaturen führt zu längeren Ausfallzeiten und häufigeren Serviceeinsätzen. Darüber hinaus verursachen ungeplante Reparaturen oft unerwartete Kosten und belasten die ohnehin knappen Budgets von Krankenhäusern zusätzlich.</t>
        </is>
      </c>
      <c r="E279" t="inlineStr" s="0">
        <is>
          <t xml:space="preserve">Medium</t>
        </is>
      </c>
      <c r="F279" s="4"/>
      <c r="G279" t="inlineStr" s="2">
        <is>
          <t xml:space="preserve">„Eine zentrale Anforderung an Serviceanbieter ist die vollständige Unterstützung gemäß den Vorgaben des Originalgeräteherstellers. Dazu gehören vorbeugende Wartungsmaßnahmen und Reparaturen nach den offiziellen Service- und Reparaturhandbüchern sowie die Verwendung der entsprechenden Dokumentation und Werkzeuge.</t>
        </is>
      </c>
      <c r="H279" t="inlineStr" s="2">
        <is>
          <t xml:space="preserve">Die Gewährleistung von Patientensicherheit und einer unterbrechungsfreien Versorgung bei gleichzeitiger wirtschaftlicher Effizienz gehört zu den zentralen Aufgaben im Krankenhausbetrieb. Medizintechnik muss daher zuverlässig, langlebig und jederzeit einsatzbereit sein. Vier wesentliche Faktoren beeinflussen die Verfügbarkeit medizintechnischer Geräte maßgeblich.</t>
        </is>
      </c>
      <c r="I279" t="inlineStr" s="2">
        <is>
          <t xml:space="preserve">Getinge verfügt beispielsweise über exklusiven Zugang zu Originalersatzteilen, Spezialwerkzeugen und speziell geschulten Servicetechnikern. Dadurch können wir den Bedarf an Ersatzteilen sowie die geografische Verteilung der installierten Geräte kontinuierlich analysieren und sicherstellen, dass qualifizierte Techniker zeitnah verfügbar sind, um unsere Kunden bestmöglich zu unterstützen.“</t>
        </is>
      </c>
      <c r="J279" s="4"/>
      <c r="K279" s="2"/>
      <c r="L279" t="str" s="3">
        <f>HYPERLINK("https://www.getinge.com/de/news-und-events/neuigkeiten/gesundheitswesen/geraeteverfuegbarkeit-optimieren/","/news-und-events/neuigkeiten/gesundheitswesen/geraeteverfuegbarkeit-optimieren/")</f>
        <v>/news-und-events/neuigkeiten/gesundheitswesen/geraeteverfuegbarkeit-optimieren/</v>
      </c>
    </row>
    <row r="280">
      <c r="A280" s="0">
        <v>279</v>
      </c>
      <c r="B280" t="str" s="3">
        <f>HYPERLINK("https://www.getinge.com/int/insights/updates/healthcare/optimizing-equipment-uptime/","/insights/updates/healthcare/optimizing-equipment-uptime/")</f>
        <v>/insights/updates/healthcare/optimizing-equipment-uptime/</v>
      </c>
      <c r="C280" t="inlineStr" s="2">
        <is>
          <t xml:space="preserve">Expert insight from Duane Hawkins: Adopting a proactive maintenance strategy is one of the most effective ways to address this challenge. A service agreement should have a structured planned preventative maintenance schedule, this ensures the device is appropriately maintained and also enables potential issues with the device to be identified and resolved prior to failure, avoiding a repair intervention.</t>
        </is>
      </c>
      <c r="D280" t="inlineStr" s="2">
        <is>
          <t xml:space="preserve">„Die Einführung einer proaktiven Wartungsstrategie ist eine der wirksamsten Maßnahmen, um dieser Herausforderung zu begegnen. Ein Servicevertrag sollte einen strukturierten Plan für die vorbeugende Wartung beinhalten. Dadurch wird sichergestellt, dass das Gerät ordnungsgemäß gewartet wird und potenzielle Probleme frühzeitig erkannt und behoben werden können – noch bevor es zu einem Ausfall kommt und eine Reparatur erforderlich wird.</t>
        </is>
      </c>
      <c r="E280" t="inlineStr" s="0">
        <is>
          <t xml:space="preserve">Medium</t>
        </is>
      </c>
      <c r="F280" s="4"/>
      <c r="G280" t="inlineStr" s="2">
        <is>
          <t xml:space="preserve">Die Zeitspanne, in der ein Gerät aufgrund einer Reparatur nicht genutzt werden kann, hat direkten Einfluss auf dessen Gesamtverfügbarkeit. Die Reparaturdauer wird von verschiedenen Faktoren beeinflusst, darunter die Schwere des gemeldeten Problems, die Verfügbarkeit von Ersatzteilen und die Effizienz der Lieferkette, logistische Prozesse sowie die Erreichbarkeit und Expertise der Servicetechniker, die die Reparatur durchführen.</t>
        </is>
      </c>
      <c r="H280" t="inlineStr" s="2">
        <is>
          <t xml:space="preserve">„Wie bereits erwähnt, trägt eine proaktive Wartungsstrategie dazu bei, das Risiko von Reparaturen oder Ausfällen zu reduzieren – sowohl hinsichtlich ihrer Häufigkeit als auch ihrer Schwere. Darüber hinaus profitieren Krankenhäuser von der Zusammenarbeit mit dem Originalgerätehersteller (OEM) als Servicepartner, da dieser über umfassende Kenntnisse der Geräte und ihrer vorgesehenen Anwendung verfügt.</t>
        </is>
      </c>
      <c r="I280" t="inlineStr" s="2">
        <is>
          <t xml:space="preserve">Ein entscheidender Faktor bei der Auswahl eines geeigneten Servicepartners ist die Qualität der Serviceleistungen. Dazu gehören der Einsatz von neuen Originalersatzteilen mit vollständiger Rückverfolgbarkeit entlang der Lieferkette, eine lückenlose Servicedokumentation, die Verwendung geeigneter Werkzeuge sowie die kontinuierliche Schulung und Kompetenzbewertung der Servicetechniker.</t>
        </is>
      </c>
      <c r="J280" s="4"/>
      <c r="K280" s="2"/>
      <c r="L280" t="str" s="3">
        <f>HYPERLINK("https://www.getinge.com/de/news-und-events/neuigkeiten/gesundheitswesen/geraeteverfuegbarkeit-optimieren/","/news-und-events/neuigkeiten/gesundheitswesen/geraeteverfuegbarkeit-optimieren/")</f>
        <v>/news-und-events/neuigkeiten/gesundheitswesen/geraeteverfuegbarkeit-optimieren/</v>
      </c>
    </row>
    <row r="281">
      <c r="A281" s="0">
        <v>280</v>
      </c>
      <c r="B281" t="str" s="3">
        <f>HYPERLINK("https://www.getinge.com/int/insights/updates/healthcare/optimizing-equipment-uptime/","/insights/updates/healthcare/optimizing-equipment-uptime/")</f>
        <v>/insights/updates/healthcare/optimizing-equipment-uptime/</v>
      </c>
      <c r="C281" t="inlineStr" s="2">
        <is>
          <t xml:space="preserve">By using this approach, the interval between failures increases, allowing equipment to remain clinically operational for extended periods and providing higher levels of uptime.</t>
        </is>
      </c>
      <c r="D281" t="inlineStr" s="2">
        <is>
          <t xml:space="preserve">Mit diesem Ansatz verlängern sich die Intervalle zwischen möglichen Störungen, sodass Geräte über einen längeren Zeitraum klinisch verfügbar bleiben und eine höhere Betriebszeit erreicht wird.“</t>
        </is>
      </c>
      <c r="E281" t="inlineStr" s="0">
        <is>
          <t xml:space="preserve">Low</t>
        </is>
      </c>
      <c r="F281" s="4"/>
      <c r="G281" t="inlineStr" s="2">
        <is>
          <t xml:space="preserve">Regelmäßige Schulungen des klinischen Personals und der hauseigenen Medizintechnik können dazu beitragen, vermeidbare Bedienungsfehler zu reduzieren und dadurch den Bedarf an entsprechenden Serviceeinsätzen zu verringern.</t>
        </is>
      </c>
      <c r="H281" t="inlineStr" s="2">
        <is>
          <t xml:space="preserve">Die Verfügbarkeit medizintechnischer Geräte wird von mehreren Schlüsselfaktoren beeinflusst: der Reparaturhäufigkeit, der Reparaturdauer, der Anwenderschulung und der Qualität der Serviceleistungen.</t>
        </is>
      </c>
      <c r="I281" t="inlineStr" s="2">
        <is>
          <t xml:space="preserve">Ebenso wichtig ist es, dass Servicetechniker regelmäßig geschult, rezertifiziert und bewertet werden, um ihre Kompetenz und die Einhaltung regulatorischer Anforderungen sicherzustellen.</t>
        </is>
      </c>
      <c r="J281" s="4"/>
      <c r="K281" s="2"/>
      <c r="L281" t="str" s="3">
        <f>HYPERLINK("https://www.getinge.com/de/news-und-events/neuigkeiten/gesundheitswesen/geraeteverfuegbarkeit-optimieren/","/news-und-events/neuigkeiten/gesundheitswesen/geraeteverfuegbarkeit-optimieren/")</f>
        <v>/news-und-events/neuigkeiten/gesundheitswesen/geraeteverfuegbarkeit-optimieren/</v>
      </c>
    </row>
    <row r="282">
      <c r="A282" s="0">
        <v>281</v>
      </c>
      <c r="B282" t="str" s="3">
        <f>HYPERLINK("https://www.getinge.com/int/insights/updates/healthcare/optimizing-equipment-uptime/","/insights/updates/healthcare/optimizing-equipment-uptime/")</f>
        <v>/insights/updates/healthcare/optimizing-equipment-uptime/</v>
      </c>
      <c r="C282" t="inlineStr" s="2">
        <is>
          <t xml:space="preserve">The length of time a device is unavailable for use due to a repair event has a direct impact on its overall uptime. Repair duration is influenced by several factors, including the severity of the issue reported, spare parts availability and supply chain efficiency, logistics, and the accessibility and expertise of service technicians responding to the repair.</t>
        </is>
      </c>
      <c r="D282" t="inlineStr" s="2">
        <is>
          <t xml:space="preserve">Die Zeitspanne, in der ein Gerät aufgrund einer Reparatur nicht genutzt werden kann, hat direkten Einfluss auf dessen Gesamtverfügbarkeit. Die Reparaturdauer wird von verschiedenen Faktoren beeinflusst, darunter die Schwere des gemeldeten Problems, die Verfügbarkeit von Ersatzteilen und die Effizienz der Lieferkette, logistische Prozesse sowie die Erreichbarkeit und Expertise der Servicetechniker, die die Reparatur durchführen.</t>
        </is>
      </c>
      <c r="E282" t="inlineStr" s="0">
        <is>
          <t xml:space="preserve">Medium</t>
        </is>
      </c>
      <c r="F282" s="4"/>
      <c r="G282" t="inlineStr" s="2">
        <is>
          <t xml:space="preserve">Wiederkehrende technische Probleme und Ausfälle wirken sich direkt auf Krankenhausabläufe und die betriebliche Effizienz aus. Eine steigende Anzahl von Reparaturen führt zu längeren Ausfallzeiten und häufigeren Serviceeinsätzen. Darüber hinaus verursachen ungeplante Reparaturen oft unerwartete Kosten und belasten die ohnehin knappen Budgets von Krankenhäusern zusätzlich.</t>
        </is>
      </c>
      <c r="H282" t="inlineStr" s="2">
        <is>
          <t xml:space="preserve">Ein entscheidender Faktor bei der Auswahl eines geeigneten Servicepartners ist die Qualität der Serviceleistungen. Dazu gehören der Einsatz von neuen Originalersatzteilen mit vollständiger Rückverfolgbarkeit entlang der Lieferkette, eine lückenlose Servicedokumentation, die Verwendung geeigneter Werkzeuge sowie die kontinuierliche Schulung und Kompetenzbewertung der Servicetechniker.</t>
        </is>
      </c>
      <c r="I282" t="inlineStr" s="2">
        <is>
          <t xml:space="preserve">„Wie bereits erwähnt, trägt eine proaktive Wartungsstrategie dazu bei, das Risiko von Reparaturen oder Ausfällen zu reduzieren – sowohl hinsichtlich ihrer Häufigkeit als auch ihrer Schwere. Darüber hinaus profitieren Krankenhäuser von der Zusammenarbeit mit dem Originalgerätehersteller (OEM) als Servicepartner, da dieser über umfassende Kenntnisse der Geräte und ihrer vorgesehenen Anwendung verfügt.</t>
        </is>
      </c>
      <c r="J282" s="4"/>
      <c r="K282" s="2"/>
      <c r="L282" t="str" s="3">
        <f>HYPERLINK("https://www.getinge.com/de/news-und-events/neuigkeiten/gesundheitswesen/geraeteverfuegbarkeit-optimieren/","/news-und-events/neuigkeiten/gesundheitswesen/geraeteverfuegbarkeit-optimieren/")</f>
        <v>/news-und-events/neuigkeiten/gesundheitswesen/geraeteverfuegbarkeit-optimieren/</v>
      </c>
    </row>
    <row r="283">
      <c r="A283" s="0">
        <v>282</v>
      </c>
      <c r="B283" t="str" s="3">
        <f>HYPERLINK("https://www.getinge.com/int/insights/updates/healthcare/optimizing-equipment-uptime/","/insights/updates/healthcare/optimizing-equipment-uptime/")</f>
        <v>/insights/updates/healthcare/optimizing-equipment-uptime/</v>
      </c>
      <c r="C283" t="inlineStr" s="2">
        <is>
          <t xml:space="preserve">Expert insight from Duane Hawkins: As mentioned, adopting a proactive maintenance strategy will mitigate the potential for a repair / breakdown, both in terms of frequency and severity of the issue. Additionally, hospitals benefit from working with the Original Equipment Manufacturer (OEM) as their service partner due to experience of the devices and their intended use.</t>
        </is>
      </c>
      <c r="D283" t="inlineStr" s="2">
        <is>
          <t xml:space="preserve">„Wie bereits erwähnt, trägt eine proaktive Wartungsstrategie dazu bei, das Risiko von Reparaturen oder Ausfällen zu reduzieren – sowohl hinsichtlich ihrer Häufigkeit als auch ihrer Schwere. Darüber hinaus profitieren Krankenhäuser von der Zusammenarbeit mit dem Originalgerätehersteller (OEM) als Servicepartner, da dieser über umfassende Kenntnisse der Geräte und ihrer vorgesehenen Anwendung verfügt.</t>
        </is>
      </c>
      <c r="E283" t="inlineStr" s="0">
        <is>
          <t xml:space="preserve">Medium</t>
        </is>
      </c>
      <c r="F283" s="4"/>
      <c r="G283" t="inlineStr" s="2">
        <is>
          <t xml:space="preserve">„Die Einführung einer proaktiven Wartungsstrategie ist eine der wirksamsten Maßnahmen, um dieser Herausforderung zu begegnen. Ein Servicevertrag sollte einen strukturierten Plan für die vorbeugende Wartung beinhalten. Dadurch wird sichergestellt, dass das Gerät ordnungsgemäß gewartet wird und potenzielle Probleme frühzeitig erkannt und behoben werden können – noch bevor es zu einem Ausfall kommt und eine Reparatur erforderlich wird.</t>
        </is>
      </c>
      <c r="H283" t="inlineStr" s="2">
        <is>
          <t xml:space="preserve">Die Zeitspanne, in der ein Gerät aufgrund einer Reparatur nicht genutzt werden kann, hat direkten Einfluss auf dessen Gesamtverfügbarkeit. Die Reparaturdauer wird von verschiedenen Faktoren beeinflusst, darunter die Schwere des gemeldeten Problems, die Verfügbarkeit von Ersatzteilen und die Effizienz der Lieferkette, logistische Prozesse sowie die Erreichbarkeit und Expertise der Servicetechniker, die die Reparatur durchführen.</t>
        </is>
      </c>
      <c r="I283" t="inlineStr" s="2">
        <is>
          <t xml:space="preserve">Ein entscheidender Faktor bei der Auswahl eines geeigneten Servicepartners ist die Qualität der Serviceleistungen. Dazu gehören der Einsatz von neuen Originalersatzteilen mit vollständiger Rückverfolgbarkeit entlang der Lieferkette, eine lückenlose Servicedokumentation, die Verwendung geeigneter Werkzeuge sowie die kontinuierliche Schulung und Kompetenzbewertung der Servicetechniker.</t>
        </is>
      </c>
      <c r="J283" s="4"/>
      <c r="K283" s="2"/>
      <c r="L283" t="str" s="3">
        <f>HYPERLINK("https://www.getinge.com/de/news-und-events/neuigkeiten/gesundheitswesen/geraeteverfuegbarkeit-optimieren/","/news-und-events/neuigkeiten/gesundheitswesen/geraeteverfuegbarkeit-optimieren/")</f>
        <v>/news-und-events/neuigkeiten/gesundheitswesen/geraeteverfuegbarkeit-optimieren/</v>
      </c>
    </row>
    <row r="284">
      <c r="A284" s="0">
        <v>283</v>
      </c>
      <c r="B284" t="str" s="3">
        <f>HYPERLINK("https://www.getinge.com/int/insights/updates/healthcare/optimizing-equipment-uptime/","/insights/updates/healthcare/optimizing-equipment-uptime/")</f>
        <v>/insights/updates/healthcare/optimizing-equipment-uptime/</v>
      </c>
      <c r="C284" t="inlineStr" s="2">
        <is>
          <t xml:space="preserve">As an example, Getinge have exclusive access to spare parts, tooling and trained service technicians, this enables Getinge to routinely review the demand of spare parts, and geographic locations of devices to ensure maximized coverage of engineers to support those devices in a timely manner.</t>
        </is>
      </c>
      <c r="D284" t="inlineStr" s="2">
        <is>
          <t xml:space="preserve">Getinge verfügt beispielsweise über exklusiven Zugang zu Originalersatzteilen, Spezialwerkzeugen und speziell geschulten Servicetechnikern. Dadurch können wir den Bedarf an Ersatzteilen sowie die geografische Verteilung der installierten Geräte kontinuierlich analysieren und sicherstellen, dass qualifizierte Techniker zeitnah verfügbar sind, um unsere Kunden bestmöglich zu unterstützen.“</t>
        </is>
      </c>
      <c r="E284" t="inlineStr" s="0">
        <is>
          <t xml:space="preserve">Medium</t>
        </is>
      </c>
      <c r="F284" s="4"/>
      <c r="G284" t="inlineStr" s="2">
        <is>
          <t xml:space="preserve">„Eine zentrale Anforderung an Serviceanbieter ist die vollständige Unterstützung gemäß den Vorgaben des Originalgeräteherstellers. Dazu gehören vorbeugende Wartungsmaßnahmen und Reparaturen nach den offiziellen Service- und Reparaturhandbüchern sowie die Verwendung der entsprechenden Dokumentation und Werkzeuge.</t>
        </is>
      </c>
      <c r="H284" t="inlineStr" s="2">
        <is>
          <t xml:space="preserve">Wiederkehrende technische Probleme und Ausfälle wirken sich direkt auf Krankenhausabläufe und die betriebliche Effizienz aus. Eine steigende Anzahl von Reparaturen führt zu längeren Ausfallzeiten und häufigeren Serviceeinsätzen. Darüber hinaus verursachen ungeplante Reparaturen oft unerwartete Kosten und belasten die ohnehin knappen Budgets von Krankenhäusern zusätzlich.</t>
        </is>
      </c>
      <c r="I284" t="inlineStr" s="2">
        <is>
          <t xml:space="preserve">Ein entscheidender Faktor bei der Auswahl eines geeigneten Servicepartners ist die Qualität der Serviceleistungen. Dazu gehören der Einsatz von neuen Originalersatzteilen mit vollständiger Rückverfolgbarkeit entlang der Lieferkette, eine lückenlose Servicedokumentation, die Verwendung geeigneter Werkzeuge sowie die kontinuierliche Schulung und Kompetenzbewertung der Servicetechniker.</t>
        </is>
      </c>
      <c r="J284" s="4"/>
      <c r="K284" s="2"/>
      <c r="L284" t="str" s="3">
        <f>HYPERLINK("https://www.getinge.com/de/news-und-events/neuigkeiten/gesundheitswesen/geraeteverfuegbarkeit-optimieren/","/news-und-events/neuigkeiten/gesundheitswesen/geraeteverfuegbarkeit-optimieren/")</f>
        <v>/news-und-events/neuigkeiten/gesundheitswesen/geraeteverfuegbarkeit-optimieren/</v>
      </c>
    </row>
    <row r="285">
      <c r="A285" s="0">
        <v>284</v>
      </c>
      <c r="B285" t="str" s="3">
        <f>HYPERLINK("https://www.getinge.com/int/insights/updates/healthcare/optimizing-equipment-uptime/","/insights/updates/healthcare/optimizing-equipment-uptime/")</f>
        <v>/insights/updates/healthcare/optimizing-equipment-uptime/</v>
      </c>
      <c r="C285" t="inlineStr" s="2">
        <is>
          <t xml:space="preserve">Regular training of clinical users and in-house biomedical technicians can help prevent avoidable operating errors and reduce the need for related service interventions.</t>
        </is>
      </c>
      <c r="D285" t="inlineStr" s="2">
        <is>
          <t xml:space="preserve">Regelmäßige Schulungen des klinischen Personals und der hauseigenen Medizintechnik können dazu beitragen, vermeidbare Bedienungsfehler zu reduzieren und dadurch den Bedarf an entsprechenden Serviceeinsätzen zu verringern.</t>
        </is>
      </c>
      <c r="E285" t="inlineStr" s="0">
        <is>
          <t xml:space="preserve">Medium</t>
        </is>
      </c>
      <c r="F285" s="4"/>
      <c r="G285" t="inlineStr" s="2">
        <is>
          <t xml:space="preserve">Ebenso wichtig ist es, dass Servicetechniker regelmäßig geschult, rezertifiziert und bewertet werden, um ihre Kompetenz und die Einhaltung regulatorischer Anforderungen sicherzustellen.</t>
        </is>
      </c>
      <c r="H285" t="inlineStr" s="2">
        <is>
          <t xml:space="preserve">Die Verfügbarkeit medizintechnischer Geräte wird von mehreren Schlüsselfaktoren beeinflusst: der Reparaturhäufigkeit, der Reparaturdauer, der Anwenderschulung und der Qualität der Serviceleistungen.</t>
        </is>
      </c>
      <c r="I285" t="inlineStr" s="2">
        <is>
          <t xml:space="preserve">Mit diesem Ansatz verlängern sich die Intervalle zwischen möglichen Störungen, sodass Geräte über einen längeren Zeitraum klinisch verfügbar bleiben und eine höhere Betriebszeit erreicht wird.“</t>
        </is>
      </c>
      <c r="J285" s="4"/>
      <c r="K285" s="2"/>
      <c r="L285" t="str" s="3">
        <f>HYPERLINK("https://www.getinge.com/de/news-und-events/neuigkeiten/gesundheitswesen/geraeteverfuegbarkeit-optimieren/","/news-und-events/neuigkeiten/gesundheitswesen/geraeteverfuegbarkeit-optimieren/")</f>
        <v>/news-und-events/neuigkeiten/gesundheitswesen/geraeteverfuegbarkeit-optimieren/</v>
      </c>
    </row>
    <row r="286">
      <c r="A286" s="0">
        <v>285</v>
      </c>
      <c r="B286" t="str" s="3">
        <f>HYPERLINK("https://www.getinge.com/int/insights/updates/healthcare/optimizing-equipment-uptime/","/insights/updates/healthcare/optimizing-equipment-uptime/")</f>
        <v>/insights/updates/healthcare/optimizing-equipment-uptime/</v>
      </c>
      <c r="C286" t="inlineStr" s="2">
        <is>
          <t xml:space="preserve">Expert insight from Duane Hawkins: A key consideration when procuring medical devices is formal training packages, for both clinical and non-clinical teams to ensure formal, recorded training is available, and allows for re-certification.</t>
        </is>
      </c>
      <c r="D286" t="inlineStr" s="2">
        <is>
          <t xml:space="preserve">„Ein wichtiger Aspekt bei der Beschaffung von Medizintechnik sind strukturierte Schulungspakete – sowohl für klinische als auch für technische Teams. Diese stellen sicher, dass dokumentierte Schulungen verfügbar sind und regelmäßige Rezertifizierungen erfolgen können.</t>
        </is>
      </c>
      <c r="E286" t="inlineStr" s="0">
        <is>
          <t xml:space="preserve">Medium</t>
        </is>
      </c>
      <c r="F286" s="4"/>
      <c r="G286" t="inlineStr" s="2">
        <is>
          <t xml:space="preserve">Regelmäßige Schulungen des klinischen Personals und der hauseigenen Medizintechnik können dazu beitragen, vermeidbare Bedienungsfehler zu reduzieren und dadurch den Bedarf an entsprechenden Serviceeinsätzen zu verringern.</t>
        </is>
      </c>
      <c r="H286" t="inlineStr" s="2">
        <is>
          <t xml:space="preserve">Dieser Ansatz gewährleistet, dass Geräte umfassend unterstützt werden und Zugang zu den neuesten Softwareversionen erhalten. Wenn sich Anforderungen ändern, können Geräte von diesen Verbesserungen profitieren – was letztlich zu einer höheren Verfügbarkeit führt.“</t>
        </is>
      </c>
      <c r="I286" t="inlineStr" s="2">
        <is>
          <t xml:space="preserve">Die Optimierung dieser Faktoren reduziert Ausfallzeiten, schafft mehr Kontrolle über unerwartete Kosten durch ungeplante Wartungsmaßnahmen und verbessert die Gesamtbetriebskosten (Total Cost of Ownership) über den gesamten Lebenszyklus eines Geräts hinweg.</t>
        </is>
      </c>
      <c r="J286" s="4"/>
      <c r="K286" s="2"/>
      <c r="L286" t="str" s="3">
        <f>HYPERLINK("https://www.getinge.com/de/news-und-events/neuigkeiten/gesundheitswesen/geraeteverfuegbarkeit-optimieren/","/news-und-events/neuigkeiten/gesundheitswesen/geraeteverfuegbarkeit-optimieren/")</f>
        <v>/news-und-events/neuigkeiten/gesundheitswesen/geraeteverfuegbarkeit-optimieren/</v>
      </c>
    </row>
    <row r="287">
      <c r="A287" s="0">
        <v>286</v>
      </c>
      <c r="B287" t="str" s="3">
        <f>HYPERLINK("https://www.getinge.com/int/insights/updates/healthcare/optimizing-equipment-uptime/","/insights/updates/healthcare/optimizing-equipment-uptime/")</f>
        <v>/insights/updates/healthcare/optimizing-equipment-uptime/</v>
      </c>
      <c r="C287" t="inlineStr" s="2">
        <is>
          <t xml:space="preserve">All Original Equipment Manufacturers are required to ensure records of those who have been trained are accurately maintained, this is also important from a hospital perspective to ensure compliance.</t>
        </is>
      </c>
      <c r="D287" t="inlineStr" s="2">
        <is>
          <t xml:space="preserve">Alle Originalgerätehersteller sind verpflichtet, die Schulungsnachweise der geschulten Personen sorgfältig zu dokumentieren. Dies ist auch aus Sicht des Krankenhauses wichtig, um regulatorische Anforderungen und Compliance-Vorgaben zu erfüllen.</t>
        </is>
      </c>
      <c r="E287" t="inlineStr" s="0">
        <is>
          <t xml:space="preserve">Medium</t>
        </is>
      </c>
      <c r="F287" s="4"/>
      <c r="G287" t="inlineStr" s="2">
        <is>
          <t xml:space="preserve">Regelmäßige Schulungen des klinischen Personals und der hauseigenen Medizintechnik können dazu beitragen, vermeidbare Bedienungsfehler zu reduzieren und dadurch den Bedarf an entsprechenden Serviceeinsätzen zu verringern.</t>
        </is>
      </c>
      <c r="H287" t="inlineStr" s="2">
        <is>
          <t xml:space="preserve">Getinge bietet Anwenderschulungen über den gesamten Lebenszyklus eines Geräts hinweg an. Dadurch wird ein sicherer und effektiver Betrieb unterstützt und gleichzeitig die Anzahl von Reparaturen aufgrund von Bedienfehlern reduziert.“</t>
        </is>
      </c>
      <c r="I287" t="inlineStr" s="2">
        <is>
          <t xml:space="preserve">Ebenso wichtig ist es, dass Servicetechniker regelmäßig geschult, rezertifiziert und bewertet werden, um ihre Kompetenz und die Einhaltung regulatorischer Anforderungen sicherzustellen.</t>
        </is>
      </c>
      <c r="J287" s="4"/>
      <c r="K287" s="2"/>
      <c r="L287" t="str" s="3">
        <f>HYPERLINK("https://www.getinge.com/de/news-und-events/neuigkeiten/gesundheitswesen/geraeteverfuegbarkeit-optimieren/","/news-und-events/neuigkeiten/gesundheitswesen/geraeteverfuegbarkeit-optimieren/")</f>
        <v>/news-und-events/neuigkeiten/gesundheitswesen/geraeteverfuegbarkeit-optimieren/</v>
      </c>
    </row>
    <row r="288">
      <c r="A288" s="0">
        <v>287</v>
      </c>
      <c r="B288" t="str" s="3">
        <f>HYPERLINK("https://www.getinge.com/int/insights/updates/healthcare/optimizing-equipment-uptime/","/insights/updates/healthcare/optimizing-equipment-uptime/")</f>
        <v>/insights/updates/healthcare/optimizing-equipment-uptime/</v>
      </c>
      <c r="C288" t="inlineStr" s="2">
        <is>
          <t xml:space="preserve">As an example, Getinge will provide user training throughout the life cycle of a device, ensuring the safe and effective operation of the devices is maintained (and therefore reduces repairs caused by user error).</t>
        </is>
      </c>
      <c r="D288" t="inlineStr" s="2">
        <is>
          <t xml:space="preserve">Getinge bietet Anwenderschulungen über den gesamten Lebenszyklus eines Geräts hinweg an. Dadurch wird ein sicherer und effektiver Betrieb unterstützt und gleichzeitig die Anzahl von Reparaturen aufgrund von Bedienfehlern reduziert.“</t>
        </is>
      </c>
      <c r="E288" t="inlineStr" s="0">
        <is>
          <t xml:space="preserve">Medium</t>
        </is>
      </c>
      <c r="F288" s="4"/>
      <c r="G288" t="inlineStr" s="2">
        <is>
          <t xml:space="preserve">Die Optimierung dieser Faktoren reduziert Ausfallzeiten, schafft mehr Kontrolle über unerwartete Kosten durch ungeplante Wartungsmaßnahmen und verbessert die Gesamtbetriebskosten (Total Cost of Ownership) über den gesamten Lebenszyklus eines Geräts hinweg.</t>
        </is>
      </c>
      <c r="H288" t="inlineStr" s="2">
        <is>
          <t xml:space="preserve">Regelmäßige Schulungen des klinischen Personals und der hauseigenen Medizintechnik können dazu beitragen, vermeidbare Bedienungsfehler zu reduzieren und dadurch den Bedarf an entsprechenden Serviceeinsätzen zu verringern.</t>
        </is>
      </c>
      <c r="I288" t="inlineStr" s="2">
        <is>
          <t xml:space="preserve">Alle Originalgerätehersteller sind verpflichtet, die Schulungsnachweise der geschulten Personen sorgfältig zu dokumentieren. Dies ist auch aus Sicht des Krankenhauses wichtig, um regulatorische Anforderungen und Compliance-Vorgaben zu erfüllen.</t>
        </is>
      </c>
      <c r="J288" s="4"/>
      <c r="K288" s="2"/>
      <c r="L288" t="str" s="3">
        <f>HYPERLINK("https://www.getinge.com/de/news-und-events/neuigkeiten/gesundheitswesen/geraeteverfuegbarkeit-optimieren/","/news-und-events/neuigkeiten/gesundheitswesen/geraeteverfuegbarkeit-optimieren/")</f>
        <v>/news-und-events/neuigkeiten/gesundheitswesen/geraeteverfuegbarkeit-optimieren/</v>
      </c>
    </row>
    <row r="289">
      <c r="A289" s="0">
        <v>288</v>
      </c>
      <c r="B289" t="str" s="3">
        <f>HYPERLINK("https://www.getinge.com/int/insights/updates/healthcare/optimizing-equipment-uptime/","/insights/updates/healthcare/optimizing-equipment-uptime/")</f>
        <v>/insights/updates/healthcare/optimizing-equipment-uptime/</v>
      </c>
      <c r="C289" t="inlineStr" s="2">
        <is>
          <t xml:space="preserve">A key part of determining and selecting an appropriate service partner is assessing the overall quality of their service provision. This includes ensuring the use of genuine, new spare parts with full traceability throughout the supply chain, service documentation, correct tooling, and ongoing training of service technicians to confirm and assess competence.</t>
        </is>
      </c>
      <c r="D289" t="inlineStr" s="2">
        <is>
          <t xml:space="preserve">Ein entscheidender Faktor bei der Auswahl eines geeigneten Servicepartners ist die Qualität der Serviceleistungen. Dazu gehören der Einsatz von neuen Originalersatzteilen mit vollständiger Rückverfolgbarkeit entlang der Lieferkette, eine lückenlose Servicedokumentation, die Verwendung geeigneter Werkzeuge sowie die kontinuierliche Schulung und Kompetenzbewertung der Servicetechniker.</t>
        </is>
      </c>
      <c r="E289" t="inlineStr" s="0">
        <is>
          <t xml:space="preserve">Medium</t>
        </is>
      </c>
      <c r="F289" s="4"/>
      <c r="G289" t="inlineStr" s="2">
        <is>
          <t xml:space="preserve">Getinge verfügt beispielsweise über exklusiven Zugang zu Originalersatzteilen, Spezialwerkzeugen und speziell geschulten Servicetechnikern. Dadurch können wir den Bedarf an Ersatzteilen sowie die geografische Verteilung der installierten Geräte kontinuierlich analysieren und sicherstellen, dass qualifizierte Techniker zeitnah verfügbar sind, um unsere Kunden bestmöglich zu unterstützen.“</t>
        </is>
      </c>
      <c r="H289" t="inlineStr" s="2">
        <is>
          <t xml:space="preserve">Die Zeitspanne, in der ein Gerät aufgrund einer Reparatur nicht genutzt werden kann, hat direkten Einfluss auf dessen Gesamtverfügbarkeit. Die Reparaturdauer wird von verschiedenen Faktoren beeinflusst, darunter die Schwere des gemeldeten Problems, die Verfügbarkeit von Ersatzteilen und die Effizienz der Lieferkette, logistische Prozesse sowie die Erreichbarkeit und Expertise der Servicetechniker, die die Reparatur durchführen.</t>
        </is>
      </c>
      <c r="I289" t="inlineStr" s="2">
        <is>
          <t xml:space="preserve">Wiederkehrende technische Probleme und Ausfälle wirken sich direkt auf Krankenhausabläufe und die betriebliche Effizienz aus. Eine steigende Anzahl von Reparaturen führt zu längeren Ausfallzeiten und häufigeren Serviceeinsätzen. Darüber hinaus verursachen ungeplante Reparaturen oft unerwartete Kosten und belasten die ohnehin knappen Budgets von Krankenhäusern zusätzlich.</t>
        </is>
      </c>
      <c r="J289" s="4"/>
      <c r="K289" s="2"/>
      <c r="L289" t="str" s="3">
        <f>HYPERLINK("https://www.getinge.com/de/news-und-events/neuigkeiten/gesundheitswesen/geraeteverfuegbarkeit-optimieren/","/news-und-events/neuigkeiten/gesundheitswesen/geraeteverfuegbarkeit-optimieren/")</f>
        <v>/news-und-events/neuigkeiten/gesundheitswesen/geraeteverfuegbarkeit-optimieren/</v>
      </c>
    </row>
    <row r="290">
      <c r="A290" s="0">
        <v>289</v>
      </c>
      <c r="B290" t="str" s="3">
        <f>HYPERLINK("https://www.getinge.com/int/insights/updates/healthcare/optimizing-equipment-uptime/","/insights/updates/healthcare/optimizing-equipment-uptime/")</f>
        <v>/insights/updates/healthcare/optimizing-equipment-uptime/</v>
      </c>
      <c r="C290" t="inlineStr" s="2">
        <is>
          <t xml:space="preserve">Expert insight from Duane Hawkins: An essential requirement from service providers is ensuring that full support is available, aligned with the Original Equipment Manufacturers’ specifications. This includes planned preventative maintenance and repairs performed according to official service and repair manuals, and the appropriate documentation and tooling is used throughout the process. Additionally, ensuring service technicians are appropriately trained on the device, with regular re-certification and assessment to maintain competence and compliance.</t>
        </is>
      </c>
      <c r="D290" s="2"/>
      <c r="F290" s="4"/>
      <c r="G290" t="inlineStr" s="2">
        <is>
          <t xml:space="preserve">Die Zeitspanne, in der ein Gerät aufgrund einer Reparatur nicht genutzt werden kann, hat direkten Einfluss auf dessen Gesamtverfügbarkeit. Die Reparaturdauer wird von verschiedenen Faktoren beeinflusst, darunter die Schwere des gemeldeten Problems, die Verfügbarkeit von Ersatzteilen und die Effizienz der Lieferkette, logistische Prozesse sowie die Erreichbarkeit und Expertise der Servicetechniker, die die Reparatur durchführen.</t>
        </is>
      </c>
      <c r="H290" t="inlineStr" s="2">
        <is>
          <t xml:space="preserve">„Die Einführung einer proaktiven Wartungsstrategie ist eine der wirksamsten Maßnahmen, um dieser Herausforderung zu begegnen. Ein Servicevertrag sollte einen strukturierten Plan für die vorbeugende Wartung beinhalten. Dadurch wird sichergestellt, dass das Gerät ordnungsgemäß gewartet wird und potenzielle Probleme frühzeitig erkannt und behoben werden können – noch bevor es zu einem Ausfall kommt und eine Reparatur erforderlich wird.</t>
        </is>
      </c>
      <c r="I290" t="inlineStr" s="2">
        <is>
          <t xml:space="preserve">„Wie bereits erwähnt, trägt eine proaktive Wartungsstrategie dazu bei, das Risiko von Reparaturen oder Ausfällen zu reduzieren – sowohl hinsichtlich ihrer Häufigkeit als auch ihrer Schwere. Darüber hinaus profitieren Krankenhäuser von der Zusammenarbeit mit dem Originalgerätehersteller (OEM) als Servicepartner, da dieser über umfassende Kenntnisse der Geräte und ihrer vorgesehenen Anwendung verfügt.</t>
        </is>
      </c>
      <c r="J290" s="4"/>
      <c r="K290" s="2"/>
      <c r="L290" t="str" s="3">
        <f>HYPERLINK("https://www.getinge.com/de/news-und-events/neuigkeiten/gesundheitswesen/geraeteverfuegbarkeit-optimieren/","/news-und-events/neuigkeiten/gesundheitswesen/geraeteverfuegbarkeit-optimieren/")</f>
        <v>/news-und-events/neuigkeiten/gesundheitswesen/geraeteverfuegbarkeit-optimieren/</v>
      </c>
    </row>
    <row r="291">
      <c r="A291" s="0">
        <v>290</v>
      </c>
      <c r="B291" t="str" s="3">
        <f>HYPERLINK("https://www.getinge.com/int/insights/updates/healthcare/optimizing-equipment-uptime/","/insights/updates/healthcare/optimizing-equipment-uptime/")</f>
        <v>/insights/updates/healthcare/optimizing-equipment-uptime/</v>
      </c>
      <c r="C291" t="inlineStr" s="2">
        <is>
          <t xml:space="preserve">This approach ensures that devices are fully supported and have access to the latest software revisions. If support requirements change, devices will benefit from these efficiencies, resulting in increased uptime.</t>
        </is>
      </c>
      <c r="D291" t="inlineStr" s="2">
        <is>
          <t xml:space="preserve">Dieser Ansatz gewährleistet, dass Geräte umfassend unterstützt werden und Zugang zu den neuesten Softwareversionen erhalten. Wenn sich Anforderungen ändern, können Geräte von diesen Verbesserungen profitieren – was letztlich zu einer höheren Verfügbarkeit führt.“</t>
        </is>
      </c>
      <c r="E291" t="inlineStr" s="0">
        <is>
          <t xml:space="preserve">Low</t>
        </is>
      </c>
      <c r="F291" s="4"/>
      <c r="G291" t="inlineStr" s="2">
        <is>
          <t xml:space="preserve">Alle Originalgerätehersteller sind verpflichtet, die Schulungsnachweise der geschulten Personen sorgfältig zu dokumentieren. Dies ist auch aus Sicht des Krankenhauses wichtig, um regulatorische Anforderungen und Compliance-Vorgaben zu erfüllen.</t>
        </is>
      </c>
      <c r="H291" t="inlineStr" s="2">
        <is>
          <t xml:space="preserve">Getinge bietet Anwenderschulungen über den gesamten Lebenszyklus eines Geräts hinweg an. Dadurch wird ein sicherer und effektiver Betrieb unterstützt und gleichzeitig die Anzahl von Reparaturen aufgrund von Bedienfehlern reduziert.“</t>
        </is>
      </c>
      <c r="I291" t="inlineStr" s="2">
        <is>
          <t xml:space="preserve">Regelmäßige Schulungen des klinischen Personals und der hauseigenen Medizintechnik können dazu beitragen, vermeidbare Bedienungsfehler zu reduzieren und dadurch den Bedarf an entsprechenden Serviceeinsätzen zu verringern.</t>
        </is>
      </c>
      <c r="J291" s="4"/>
      <c r="K291" s="2"/>
      <c r="L291" t="str" s="3">
        <f>HYPERLINK("https://www.getinge.com/de/news-und-events/neuigkeiten/gesundheitswesen/geraeteverfuegbarkeit-optimieren/","/news-und-events/neuigkeiten/gesundheitswesen/geraeteverfuegbarkeit-optimieren/")</f>
        <v>/news-und-events/neuigkeiten/gesundheitswesen/geraeteverfuegbarkeit-optimieren/</v>
      </c>
    </row>
    <row r="292">
      <c r="A292" s="0">
        <v>291</v>
      </c>
      <c r="B292" t="str" s="3">
        <f>HYPERLINK("https://www.getinge.com/int/insights/updates/healthcare/optimizing-equipment-uptime/","/insights/updates/healthcare/optimizing-equipment-uptime/")</f>
        <v>/insights/updates/healthcare/optimizing-equipment-uptime/</v>
      </c>
      <c r="C292" t="inlineStr" s="2">
        <is>
          <t xml:space="preserve">There are several key considerations that impact equipment uptime: repair frequency, repair duration, user training, and quality of service provision. Optimizing these factors minimizes downtime, enables greater control over unexpected costs from unplanned maintenance, and improves total cost of ownership throughout the equipment's lifetime.</t>
        </is>
      </c>
      <c r="D292" s="2"/>
      <c r="F292" s="4"/>
      <c r="G292" t="inlineStr" s="2">
        <is>
          <t xml:space="preserve">Ein entscheidender Faktor bei der Auswahl eines geeigneten Servicepartners ist die Qualität der Serviceleistungen. Dazu gehören der Einsatz von neuen Originalersatzteilen mit vollständiger Rückverfolgbarkeit entlang der Lieferkette, eine lückenlose Servicedokumentation, die Verwendung geeigneter Werkzeuge sowie die kontinuierliche Schulung und Kompetenzbewertung der Servicetechniker.</t>
        </is>
      </c>
      <c r="H292" t="inlineStr" s="2">
        <is>
          <t xml:space="preserve">Wiederkehrende technische Probleme und Ausfälle wirken sich direkt auf Krankenhausabläufe und die betriebliche Effizienz aus. Eine steigende Anzahl von Reparaturen führt zu längeren Ausfallzeiten und häufigeren Serviceeinsätzen. Darüber hinaus verursachen ungeplante Reparaturen oft unerwartete Kosten und belasten die ohnehin knappen Budgets von Krankenhäusern zusätzlich.</t>
        </is>
      </c>
      <c r="I292" t="inlineStr" s="2">
        <is>
          <t xml:space="preserve">Getinge verfügt beispielsweise über exklusiven Zugang zu Originalersatzteilen, Spezialwerkzeugen und speziell geschulten Servicetechnikern. Dadurch können wir den Bedarf an Ersatzteilen sowie die geografische Verteilung der installierten Geräte kontinuierlich analysieren und sicherstellen, dass qualifizierte Techniker zeitnah verfügbar sind, um unsere Kunden bestmöglich zu unterstützen.“</t>
        </is>
      </c>
      <c r="J292" s="4"/>
      <c r="K292" s="2"/>
      <c r="L292" t="str" s="3">
        <f>HYPERLINK("https://www.getinge.com/de/news-und-events/neuigkeiten/gesundheitswesen/geraeteverfuegbarkeit-optimieren/","/news-und-events/neuigkeiten/gesundheitswesen/geraeteverfuegbarkeit-optimieren/")</f>
        <v>/news-und-events/neuigkeiten/gesundheitswesen/geraeteverfuegbarkeit-optimieren/</v>
      </c>
    </row>
    <row r="293">
      <c r="A293" s="0">
        <v>292</v>
      </c>
      <c r="B293" t="str" s="3">
        <f>HYPERLINK("https://www.getinge.com/int/insights/updates/healthcare/or-ecosystems/","/insights/updates/healthcare/or-ecosystems/")</f>
        <v>/insights/updates/healthcare/or-ecosystems/</v>
      </c>
      <c r="C293" t="inlineStr" s="2">
        <is>
          <t xml:space="preserve">How coordinated operating room environments support sustainable value over time</t>
        </is>
      </c>
      <c r="D293" s="2"/>
      <c r="F293" s="4"/>
      <c r="G293" t="inlineStr" s="2">
        <is>
          <t xml:space="preserve">Dadurch lassen sich Reibungsverluste im Alltag reduzieren und zukünftige Veränderungen einfacher umsetzen.</t>
        </is>
      </c>
      <c r="H293" t="inlineStr" s="2">
        <is>
          <t xml:space="preserve">Operative Stabilität als Grundlage langfristigen Mehrwerts</t>
        </is>
      </c>
      <c r="I293" t="inlineStr" s="2">
        <is>
          <t xml:space="preserve">Nutzbare Kapazität hängt davon ab, wie Arbeit tatsächlich erfolgt</t>
        </is>
      </c>
      <c r="J293" s="4"/>
      <c r="K293" s="2"/>
      <c r="L293" t="str" s="3">
        <f>HYPERLINK("https://www.getinge.com/de/news-und-events/neuigkeiten/gesundheitswesen/op-oekosysteme/","/news-und-events/neuigkeiten/gesundheitswesen/op-oekosysteme/")</f>
        <v>/news-und-events/neuigkeiten/gesundheitswesen/op-oekosysteme/</v>
      </c>
    </row>
    <row r="294">
      <c r="A294" s="0">
        <v>293</v>
      </c>
      <c r="B294" t="str" s="3">
        <f>HYPERLINK("https://www.getinge.com/int/insights/updates/healthcare/or-ecosystems/","/insights/updates/healthcare/or-ecosystems/")</f>
        <v>/insights/updates/healthcare/or-ecosystems/</v>
      </c>
      <c r="C294" t="inlineStr" s="2">
        <is>
          <t xml:space="preserve">Hospitals around the world have invested heavily in advanced surgical technologies over the past decades. Devices perform reliably, digital capabilities continue to expand, and clinical expertise remains high. The expectation is clear: these investments shall create long-term value – through stable operations, efficient use of resources, and the ability to adapt to future requirements.</t>
        </is>
      </c>
      <c r="D294" t="inlineStr" s="2">
        <is>
          <t xml:space="preserve">Krankenhäuser weltweit haben in den vergangenen Jahrzehnten erheblich in moderne chirurgische Technologien investiert. Medizinische Geräte arbeiten zuverlässig, digitale Möglichkeiten entwickeln sich kontinuierlich weiter und die klinische Expertise bleibt auf hohem Niveau. Die Erwartung ist klar: Diese Investitionen sollen langfristigen Mehrwert schaffen – durch stabile Abläufe, einen effizienten Ressourceneinsatz eine hohe Anpassungsfähigkeit an zukünftige Anforderungen.</t>
        </is>
      </c>
      <c r="E294" t="inlineStr" s="0">
        <is>
          <t xml:space="preserve">Medium</t>
        </is>
      </c>
      <c r="F294" s="4"/>
      <c r="G294" t="inlineStr" s="2">
        <is>
          <t xml:space="preserve">In der Praxis ist das jedoch nicht immer der Fall. Viele Krankenhäuser kämpfen weiterhin mit instabilen Abläufen im Operationssaal (OP), ungenutzten Kapazitäten und zunehmenden Herausforderungen bei der Anpassung bestehender Umgebungen. Die Ursachen liegen selten bei einem einzelnen Gerät oder einem klar identifizierbaren technischen Defekt. Sichtbar werden sie vielmehr im klinischen Alltag – insbesondere in hochspezialisierten OP-Umgebungen, in denen Eingriffe nicht einfach verlegt werden können.</t>
        </is>
      </c>
      <c r="H294" t="inlineStr" s="2">
        <is>
          <t xml:space="preserve">Viele OP-Umgebungen wurden jedoch nicht für dieses Maß an Veränderung konzipiert. Räume, die ursprünglich für eine bestimmte Ausstattung geplant wurden, müssen später zusätzliche Technologien, größere Geräte oder neue Integrationsanforderungen aufnehmen. Die Folge sind räumliche Einschränkungen und provisorische Lösungen im Alltag, die zusätzlichen Aufwand verursachen und selbst kleinere Anpassungen erschweren.</t>
        </is>
      </c>
      <c r="I294" t="inlineStr" s="2">
        <is>
          <t xml:space="preserve">Solche Situationen sind typisch für Umgebungen, die über viele Jahre hinweg gewachsen sind. Technologien, Wartungsprozesse und Infrastruktur wurden schrittweise eingeführt – oftmals ohne ein übergreifendes Betriebskonzept. Das Ergebnis sind Schwankungen im Betriebsablauf. Dort hingegen, wo Systeme aufeinander abgestimmt sind, laufen Prozesse wie erwartet und der OP-Alltag wird besser planbar.</t>
        </is>
      </c>
      <c r="J294" s="4"/>
      <c r="K294" s="2"/>
      <c r="L294" t="str" s="3">
        <f>HYPERLINK("https://www.getinge.com/de/news-und-events/neuigkeiten/gesundheitswesen/op-oekosysteme/","/news-und-events/neuigkeiten/gesundheitswesen/op-oekosysteme/")</f>
        <v>/news-und-events/neuigkeiten/gesundheitswesen/op-oekosysteme/</v>
      </c>
    </row>
    <row r="295">
      <c r="A295" s="0">
        <v>294</v>
      </c>
      <c r="B295" t="str" s="3">
        <f>HYPERLINK("https://www.getinge.com/int/insights/updates/healthcare/or-ecosystems/","/insights/updates/healthcare/or-ecosystems/")</f>
        <v>/insights/updates/healthcare/or-ecosystems/</v>
      </c>
      <c r="C295" t="inlineStr" s="2">
        <is>
          <t xml:space="preserve">Operational stability as the foundation of long-term value</t>
        </is>
      </c>
      <c r="D295" t="inlineStr" s="2">
        <is>
          <t xml:space="preserve">Operative Stabilität als Grundlage langfristigen Mehrwerts</t>
        </is>
      </c>
      <c r="E295" t="inlineStr" s="0">
        <is>
          <t xml:space="preserve">Medium</t>
        </is>
      </c>
      <c r="F295" s="4"/>
      <c r="G295" t="inlineStr" s="2">
        <is>
          <t xml:space="preserve">Der Operationssaal als strategische Infrastruktur</t>
        </is>
      </c>
      <c r="H295" t="inlineStr" s="2">
        <is>
          <t xml:space="preserve">Nutzbare Kapazität hängt davon ab, wie Arbeit tatsächlich erfolgt</t>
        </is>
      </c>
      <c r="I295" t="inlineStr" s="2">
        <is>
          <t xml:space="preserve">Wie abgestimmte OP-Umgebungen nachhaltigen Mehrwert schaffen</t>
        </is>
      </c>
      <c r="J295" s="4"/>
      <c r="K295" s="2"/>
      <c r="L295" t="str" s="3">
        <f>HYPERLINK("https://www.getinge.com/de/news-und-events/neuigkeiten/gesundheitswesen/op-oekosysteme/","/news-und-events/neuigkeiten/gesundheitswesen/op-oekosysteme/")</f>
        <v>/news-und-events/neuigkeiten/gesundheitswesen/op-oekosysteme/</v>
      </c>
    </row>
    <row r="296">
      <c r="A296" s="0">
        <v>295</v>
      </c>
      <c r="B296" t="str" s="3">
        <f>HYPERLINK("https://www.getinge.com/int/insights/updates/healthcare/or-ecosystems/","/insights/updates/healthcare/or-ecosystems/")</f>
        <v>/insights/updates/healthcare/or-ecosystems/</v>
      </c>
      <c r="C296" t="inlineStr" s="2">
        <is>
          <t xml:space="preserve">These situations are typical in environments that have grown over time. Technologies, maintenance processes, and infrastructure have been introduced step by step and often without a shared operational logic across the room. The result: variability. The opposite happens where systems are aligned: processes run as expected, and the day becomes more predictable.</t>
        </is>
      </c>
      <c r="D296" t="inlineStr" s="2">
        <is>
          <t xml:space="preserve">Solche Situationen sind typisch für Umgebungen, die über viele Jahre hinweg gewachsen sind. Technologien, Wartungsprozesse und Infrastruktur wurden schrittweise eingeführt – oftmals ohne ein übergreifendes Betriebskonzept. Das Ergebnis sind Schwankungen im Betriebsablauf. Dort hingegen, wo Systeme aufeinander abgestimmt sind, laufen Prozesse wie erwartet und der OP-Alltag wird besser planbar.</t>
        </is>
      </c>
      <c r="E296" t="inlineStr" s="0">
        <is>
          <t xml:space="preserve">Medium</t>
        </is>
      </c>
      <c r="F296" s="4"/>
      <c r="G296" t="inlineStr" s="2">
        <is>
          <t xml:space="preserve">Viele OP-Umgebungen wurden jedoch nicht für dieses Maß an Veränderung konzipiert. Räume, die ursprünglich für eine bestimmte Ausstattung geplant wurden, müssen später zusätzliche Technologien, größere Geräte oder neue Integrationsanforderungen aufnehmen. Die Folge sind räumliche Einschränkungen und provisorische Lösungen im Alltag, die zusätzlichen Aufwand verursachen und selbst kleinere Anpassungen erschweren.</t>
        </is>
      </c>
      <c r="H296" t="inlineStr" s="2">
        <is>
          <t xml:space="preserve">Besonders deutlich wird dies in spezialisierten Operationssälen. Ist beispielsweise ein Hybrid-OP nicht vollständig einsatzbereit, lassen sich Eingriffe nicht ohne Weiteres in einen anderen Raum verlagern. Nicht verfügbare Säle, aufwendige Umbauten oder kurzfristige Anpassungen betreffen selten nur einen einzelnen Eingriff – häufig verschieben sie den gesamten OP-Plan.</t>
        </is>
      </c>
      <c r="I296" t="inlineStr" s="2">
        <is>
          <t xml:space="preserve">Je mehr Technologien hinzukommen und je stärker sich Arbeitsabläufe weiterentwickeln, desto wichtiger wird die Abstimmung zwischen den einzelnen Elementen. Einzelne Systeme können zwar wie vorgesehen funktionieren, langfristiger Mehrwert entsteht jedoch erst dann, wenn die gesamte OP-Umgebung im täglichen Betrieb zuverlässig zusammenspielt.</t>
        </is>
      </c>
      <c r="J296" s="4"/>
      <c r="K296" s="2"/>
      <c r="L296" t="str" s="3">
        <f>HYPERLINK("https://www.getinge.com/de/news-und-events/neuigkeiten/gesundheitswesen/op-oekosysteme/","/news-und-events/neuigkeiten/gesundheitswesen/op-oekosysteme/")</f>
        <v>/news-und-events/neuigkeiten/gesundheitswesen/op-oekosysteme/</v>
      </c>
    </row>
    <row r="297">
      <c r="A297" s="0">
        <v>296</v>
      </c>
      <c r="B297" t="str" s="3">
        <f>HYPERLINK("https://www.getinge.com/int/insights/updates/healthcare/or-ecosystems/","/insights/updates/healthcare/or-ecosystems/")</f>
        <v>/insights/updates/healthcare/or-ecosystems/</v>
      </c>
      <c r="C297" t="inlineStr" s="2">
        <is>
          <t xml:space="preserve">Usable capacity depends on how work actually gets done</t>
        </is>
      </c>
      <c r="D297" t="inlineStr" s="2">
        <is>
          <t xml:space="preserve">Nutzbare Kapazität hängt davon ab, wie Arbeit tatsächlich erfolgt</t>
        </is>
      </c>
      <c r="E297" t="inlineStr" s="0">
        <is>
          <t xml:space="preserve">Low</t>
        </is>
      </c>
      <c r="F297" s="4"/>
      <c r="G297" t="inlineStr" s="2">
        <is>
          <t xml:space="preserve">Wie abgestimmte OP-Umgebungen nachhaltigen Mehrwert schaffen</t>
        </is>
      </c>
      <c r="H297" t="inlineStr" s="2">
        <is>
          <t xml:space="preserve">Operative Stabilität als Grundlage langfristigen Mehrwerts</t>
        </is>
      </c>
      <c r="I297" t="inlineStr" s="2">
        <is>
          <t xml:space="preserve">Anpassungsfähigkeit schützt langfristige Investitionen</t>
        </is>
      </c>
      <c r="J297" s="4"/>
      <c r="K297" s="2"/>
      <c r="L297" t="str" s="3">
        <f>HYPERLINK("https://www.getinge.com/de/news-und-events/neuigkeiten/gesundheitswesen/op-oekosysteme/","/news-und-events/neuigkeiten/gesundheitswesen/op-oekosysteme/")</f>
        <v>/news-und-events/neuigkeiten/gesundheitswesen/op-oekosysteme/</v>
      </c>
    </row>
    <row r="298">
      <c r="A298" s="0">
        <v>297</v>
      </c>
      <c r="B298" t="str" s="3">
        <f>HYPERLINK("https://www.getinge.com/int/insights/updates/healthcare/or-ecosystems/","/insights/updates/healthcare/or-ecosystems/")</f>
        <v>/insights/updates/healthcare/or-ecosystems/</v>
      </c>
      <c r="C298" t="inlineStr" s="2">
        <is>
          <t xml:space="preserve">OR capacity is often understood as the number of rooms or available surgical time. In practice, it depends on how reliably procedures can be prepared and performed.</t>
        </is>
      </c>
      <c r="D298" t="inlineStr" s="2">
        <is>
          <t xml:space="preserve">OP-Kapazität wird häufig über die Anzahl verfügbarer Säle oder die verfügbare Operationszeit definiert. In der Praxis hängt sie jedoch davon ab, wie zuverlässig Eingriffe vorbereitet und durchgeführt werden können.</t>
        </is>
      </c>
      <c r="E298" t="inlineStr" s="0">
        <is>
          <t xml:space="preserve">Low</t>
        </is>
      </c>
      <c r="F298" s="4"/>
      <c r="G298" t="inlineStr" s="2">
        <is>
          <t xml:space="preserve">Sind Systeme hingegen aufeinander abgestimmt, sind weniger manuelle Anpassungen erforderlich. Aufbauten werden konsistenter, die Vorbereitung planbarer und vorhandene Kapazitäten können in der Praxis besser genutzt werden.</t>
        </is>
      </c>
      <c r="H298" t="inlineStr" s="2">
        <is>
          <t xml:space="preserve">Klinische Exzellenz bleibt die Grundlage jeder chirurgischen Versorgung. Langfristig erhalten werden kann sie jedoch nur dann, wenn die OP-Umgebung die tägliche Arbeit zuverlässig unterstützt.</t>
        </is>
      </c>
      <c r="I298" t="inlineStr" s="2">
        <is>
          <t xml:space="preserve">Dadurch bleibt ein Teil der verfügbaren Kapazität ungenutzt. Zeitpläne werden anfälliger für Verzögerungen und der Durchsatz schwankt von Tag zu Tag – obwohl die eingesetzte Technik grundsätzlich voll funktionsfähig ist.</t>
        </is>
      </c>
      <c r="J298" s="4"/>
      <c r="K298" s="2"/>
      <c r="L298" t="str" s="3">
        <f>HYPERLINK("https://www.getinge.com/de/news-und-events/neuigkeiten/gesundheitswesen/op-oekosysteme/","/news-und-events/neuigkeiten/gesundheitswesen/op-oekosysteme/")</f>
        <v>/news-und-events/neuigkeiten/gesundheitswesen/op-oekosysteme/</v>
      </c>
    </row>
    <row r="299">
      <c r="A299" s="0">
        <v>298</v>
      </c>
      <c r="B299" t="str" s="3">
        <f>HYPERLINK("https://www.getinge.com/int/insights/updates/healthcare/or-ecosystems/","/insights/updates/healthcare/or-ecosystems/")</f>
        <v>/insights/updates/healthcare/or-ecosystems/</v>
      </c>
      <c r="C299" t="inlineStr" s="2">
        <is>
          <t xml:space="preserve">In many environments, teams compensate for structural limitations. Equipment is repositioned, setups are manually adjusted between cases, information is pulled together from different sources. These steps are part of the routine, but they cost time – especially during preparation and turnover. As a result, part of the available capacity remains unused. Schedules become sensitive to delays, and throughput varies from day to day – even though the equipment itself is fully functional.</t>
        </is>
      </c>
      <c r="D299" s="2"/>
      <c r="F299" s="4"/>
      <c r="G299" t="inlineStr" s="2">
        <is>
          <t xml:space="preserve">In der Praxis ist das jedoch nicht immer der Fall. Viele Krankenhäuser kämpfen weiterhin mit instabilen Abläufen im Operationssaal (OP), ungenutzten Kapazitäten und zunehmenden Herausforderungen bei der Anpassung bestehender Umgebungen. Die Ursachen liegen selten bei einem einzelnen Gerät oder einem klar identifizierbaren technischen Defekt. Sichtbar werden sie vielmehr im klinischen Alltag – insbesondere in hochspezialisierten OP-Umgebungen, in denen Eingriffe nicht einfach verlegt werden können.</t>
        </is>
      </c>
      <c r="H299" t="inlineStr" s="2">
        <is>
          <t xml:space="preserve">Krankenhäuser weltweit haben in den vergangenen Jahrzehnten erheblich in moderne chirurgische Technologien investiert. Medizinische Geräte arbeiten zuverlässig, digitale Möglichkeiten entwickeln sich kontinuierlich weiter und die klinische Expertise bleibt auf hohem Niveau. Die Erwartung ist klar: Diese Investitionen sollen langfristigen Mehrwert schaffen – durch stabile Abläufe, einen effizienten Ressourceneinsatz eine hohe Anpassungsfähigkeit an zukünftige Anforderungen.</t>
        </is>
      </c>
      <c r="I299" t="inlineStr" s="2">
        <is>
          <t xml:space="preserve">Viele OP-Umgebungen wurden jedoch nicht für dieses Maß an Veränderung konzipiert. Räume, die ursprünglich für eine bestimmte Ausstattung geplant wurden, müssen später zusätzliche Technologien, größere Geräte oder neue Integrationsanforderungen aufnehmen. Die Folge sind räumliche Einschränkungen und provisorische Lösungen im Alltag, die zusätzlichen Aufwand verursachen und selbst kleinere Anpassungen erschweren.</t>
        </is>
      </c>
      <c r="J299" s="4"/>
      <c r="K299" s="2"/>
      <c r="L299" t="str" s="3">
        <f>HYPERLINK("https://www.getinge.com/de/news-und-events/neuigkeiten/gesundheitswesen/op-oekosysteme/","/news-und-events/neuigkeiten/gesundheitswesen/op-oekosysteme/")</f>
        <v>/news-und-events/neuigkeiten/gesundheitswesen/op-oekosysteme/</v>
      </c>
    </row>
    <row r="300">
      <c r="A300" s="0">
        <v>299</v>
      </c>
      <c r="B300" t="str" s="3">
        <f>HYPERLINK("https://www.getinge.com/int/insights/updates/healthcare/or-ecosystems/","/insights/updates/healthcare/or-ecosystems/")</f>
        <v>/insights/updates/healthcare/or-ecosystems/</v>
      </c>
      <c r="C300" t="inlineStr" s="2">
        <is>
          <t xml:space="preserve">When systems are coordinated, fewer manual adjustments are needed. Setups are more consistent, preparation becomes more predictable, and planned capacity is more likely to be realized in practice.</t>
        </is>
      </c>
      <c r="D300" t="inlineStr" s="2">
        <is>
          <t xml:space="preserve">Sind Systeme hingegen aufeinander abgestimmt, sind weniger manuelle Anpassungen erforderlich. Aufbauten werden konsistenter, die Vorbereitung planbarer und vorhandene Kapazitäten können in der Praxis besser genutzt werden.</t>
        </is>
      </c>
      <c r="E300" t="inlineStr" s="0">
        <is>
          <t xml:space="preserve">Medium</t>
        </is>
      </c>
      <c r="F300" s="4"/>
      <c r="G300" t="inlineStr" s="2">
        <is>
          <t xml:space="preserve">Dadurch bleibt ein Teil der verfügbaren Kapazität ungenutzt. Zeitpläne werden anfälliger für Verzögerungen und der Durchsatz schwankt von Tag zu Tag – obwohl die eingesetzte Technik grundsätzlich voll funktionsfähig ist.</t>
        </is>
      </c>
      <c r="H300" t="inlineStr" s="2">
        <is>
          <t xml:space="preserve">OP-Kapazität wird häufig über die Anzahl verfügbarer Säle oder die verfügbare Operationszeit definiert. In der Praxis hängt sie jedoch davon ab, wie zuverlässig Eingriffe vorbereitet und durchgeführt werden können.</t>
        </is>
      </c>
      <c r="I300" t="inlineStr" s="2">
        <is>
          <t xml:space="preserve">Eine abgestimmte OP-Umgebung verfolgt einen anderen Ansatz. Sie betrachtet, wie Arbeitsabläufe, Ausstattung, digitale Systeme und Serviceprozesse zusammenwirken – und wie sich diese Wechselwirkungen im Laufe der Zeit verändern werden.</t>
        </is>
      </c>
      <c r="J300" s="4"/>
      <c r="K300" s="2"/>
      <c r="L300" t="str" s="3">
        <f>HYPERLINK("https://www.getinge.com/de/news-und-events/neuigkeiten/gesundheitswesen/op-oekosysteme/","/news-und-events/neuigkeiten/gesundheitswesen/op-oekosysteme/")</f>
        <v>/news-und-events/neuigkeiten/gesundheitswesen/op-oekosysteme/</v>
      </c>
    </row>
    <row r="301">
      <c r="A301" s="0">
        <v>300</v>
      </c>
      <c r="B301" t="str" s="3">
        <f>HYPERLINK("https://www.getinge.com/int/insights/updates/healthcare/or-ecosystems/","/insights/updates/healthcare/or-ecosystems/")</f>
        <v>/insights/updates/healthcare/or-ecosystems/</v>
      </c>
      <c r="C301" t="inlineStr" s="2">
        <is>
          <t xml:space="preserve">Adaptability as protection of long-term investment</t>
        </is>
      </c>
      <c r="D301" t="inlineStr" s="2">
        <is>
          <t xml:space="preserve">Anpassungsfähigkeit schützt langfristige Investitionen</t>
        </is>
      </c>
      <c r="E301" t="inlineStr" s="0">
        <is>
          <t xml:space="preserve">Medium</t>
        </is>
      </c>
      <c r="F301" s="4"/>
      <c r="G301" t="inlineStr" s="2">
        <is>
          <t xml:space="preserve">Operative Stabilität als Grundlage langfristigen Mehrwerts</t>
        </is>
      </c>
      <c r="H301" t="inlineStr" s="2">
        <is>
          <t xml:space="preserve">Wie abgestimmte OP-Umgebungen nachhaltigen Mehrwert schaffen</t>
        </is>
      </c>
      <c r="I301" t="inlineStr" s="2">
        <is>
          <t xml:space="preserve">Nutzbare Kapazität hängt davon ab, wie Arbeit tatsächlich erfolgt</t>
        </is>
      </c>
      <c r="J301" s="4"/>
      <c r="K301" s="2"/>
      <c r="L301" t="str" s="3">
        <f>HYPERLINK("https://www.getinge.com/de/news-und-events/neuigkeiten/gesundheitswesen/op-oekosysteme/","/news-und-events/neuigkeiten/gesundheitswesen/op-oekosysteme/")</f>
        <v>/news-und-events/neuigkeiten/gesundheitswesen/op-oekosysteme/</v>
      </c>
    </row>
    <row r="302">
      <c r="A302" s="0">
        <v>301</v>
      </c>
      <c r="B302" t="str" s="3">
        <f>HYPERLINK("https://www.getinge.com/int/insights/updates/healthcare/or-ecosystems/","/insights/updates/healthcare/or-ecosystems/")</f>
        <v>/insights/updates/healthcare/or-ecosystems/</v>
      </c>
      <c r="C302" t="inlineStr" s="2">
        <is>
          <t xml:space="preserve">Operating rooms are long-term infrastructure assets expected to support clinical work for decades. During that time, new technologies are introduced, integration requirements increase, and clinical needs change.</t>
        </is>
      </c>
      <c r="D302" s="2"/>
      <c r="F302" s="4"/>
      <c r="G302" t="inlineStr" s="2">
        <is>
          <t xml:space="preserve">Aus diesem Grund sollte der Operationssaal nicht nur als klinischer Arbeitsbereich betrachtet werden, sondern als strategische Infrastruktur – deren langfristiger Wert davon abhängt, wie gut Systeme, Arbeitsabläufe und Servicekonzepte im Alltag zusammenspielen.</t>
        </is>
      </c>
      <c r="H302" t="inlineStr" s="2">
        <is>
          <t xml:space="preserve">Hier kommen Partner wie Getinge ins Spiel: mit einem ganzheitlichen Verständnis für den Operationssaal und seinen langfristigen Anforderungen sowie der Fähigkeit, Ausstattung, digitale Lösungen und Servicekonzepte sinnvoll miteinander zu verbinden.</t>
        </is>
      </c>
      <c r="I302" t="inlineStr" s="2">
        <is>
          <t xml:space="preserve">OP-Kapazität wird häufig über die Anzahl verfügbarer Säle oder die verfügbare Operationszeit definiert. In der Praxis hängt sie jedoch davon ab, wie zuverlässig Eingriffe vorbereitet und durchgeführt werden können.</t>
        </is>
      </c>
      <c r="J302" s="4"/>
      <c r="K302" s="2"/>
      <c r="L302" t="str" s="3">
        <f>HYPERLINK("https://www.getinge.com/de/news-und-events/neuigkeiten/gesundheitswesen/op-oekosysteme/","/news-und-events/neuigkeiten/gesundheitswesen/op-oekosysteme/")</f>
        <v>/news-und-events/neuigkeiten/gesundheitswesen/op-oekosysteme/</v>
      </c>
    </row>
    <row r="303">
      <c r="A303" s="0">
        <v>302</v>
      </c>
      <c r="B303" t="str" s="3">
        <f>HYPERLINK("https://www.getinge.com/int/insights/updates/healthcare/or-ecosystems/","/insights/updates/healthcare/or-ecosystems/")</f>
        <v>/insights/updates/healthcare/or-ecosystems/</v>
      </c>
      <c r="C303" t="inlineStr" s="2">
        <is>
          <t xml:space="preserve">Many environments are not designed for this level of change. Rooms initially planned for a specific setup must later accommodate additional technologies, larger devices, or new integration needs, often leading to spatial constraints and workarounds in daily use. This adds effort and makes even small changes harder to implement.</t>
        </is>
      </c>
      <c r="D303" t="inlineStr" s="2">
        <is>
          <t xml:space="preserve">Viele OP-Umgebungen wurden jedoch nicht für dieses Maß an Veränderung konzipiert. Räume, die ursprünglich für eine bestimmte Ausstattung geplant wurden, müssen später zusätzliche Technologien, größere Geräte oder neue Integrationsanforderungen aufnehmen. Die Folge sind räumliche Einschränkungen und provisorische Lösungen im Alltag, die zusätzlichen Aufwand verursachen und selbst kleinere Anpassungen erschweren.</t>
        </is>
      </c>
      <c r="E303" t="inlineStr" s="0">
        <is>
          <t xml:space="preserve">Low</t>
        </is>
      </c>
      <c r="F303" s="4"/>
      <c r="G303" t="inlineStr" s="2">
        <is>
          <t xml:space="preserve">Besonders deutlich wird dies in spezialisierten Operationssälen. Ist beispielsweise ein Hybrid-OP nicht vollständig einsatzbereit, lassen sich Eingriffe nicht ohne Weiteres in einen anderen Raum verlagern. Nicht verfügbare Säle, aufwendige Umbauten oder kurzfristige Anpassungen betreffen selten nur einen einzelnen Eingriff – häufig verschieben sie den gesamten OP-Plan.</t>
        </is>
      </c>
      <c r="H303" t="inlineStr" s="2">
        <is>
          <t xml:space="preserve">Solche Situationen sind typisch für Umgebungen, die über viele Jahre hinweg gewachsen sind. Technologien, Wartungsprozesse und Infrastruktur wurden schrittweise eingeführt – oftmals ohne ein übergreifendes Betriebskonzept. Das Ergebnis sind Schwankungen im Betriebsablauf. Dort hingegen, wo Systeme aufeinander abgestimmt sind, laufen Prozesse wie erwartet und der OP-Alltag wird besser planbar.</t>
        </is>
      </c>
      <c r="I303" t="inlineStr" s="2">
        <is>
          <t xml:space="preserve">Je mehr Technologien hinzukommen und je stärker sich Arbeitsabläufe weiterentwickeln, desto wichtiger wird die Abstimmung zwischen den einzelnen Elementen. Einzelne Systeme können zwar wie vorgesehen funktionieren, langfristiger Mehrwert entsteht jedoch erst dann, wenn die gesamte OP-Umgebung im täglichen Betrieb zuverlässig zusammenspielt.</t>
        </is>
      </c>
      <c r="J303" s="4"/>
      <c r="K303" s="2"/>
      <c r="L303" t="str" s="3">
        <f>HYPERLINK("https://www.getinge.com/de/news-und-events/neuigkeiten/gesundheitswesen/op-oekosysteme/","/news-und-events/neuigkeiten/gesundheitswesen/op-oekosysteme/")</f>
        <v>/news-und-events/neuigkeiten/gesundheitswesen/op-oekosysteme/</v>
      </c>
    </row>
    <row r="304">
      <c r="A304" s="0">
        <v>303</v>
      </c>
      <c r="B304" t="str" s="3">
        <f>HYPERLINK("https://www.getinge.com/int/insights/updates/healthcare/or-ecosystems/","/insights/updates/healthcare/or-ecosystems/")</f>
        <v>/insights/updates/healthcare/or-ecosystems/</v>
      </c>
      <c r="C304" t="inlineStr" s="2">
        <is>
          <t xml:space="preserve">Environments that allow gradual adaptation handle this differently. Systems can be replaced or expanded without disrupting workflows. This keeps the room usable over time and helps avoid repeated structural changes.</t>
        </is>
      </c>
      <c r="D304" s="2"/>
      <c r="F304" s="4"/>
      <c r="G304" t="inlineStr" s="2">
        <is>
          <t xml:space="preserve">Eine abgestimmte OP-Umgebung verfolgt einen anderen Ansatz. Sie betrachtet, wie Arbeitsabläufe, Ausstattung, digitale Systeme und Serviceprozesse zusammenwirken – und wie sich diese Wechselwirkungen im Laufe der Zeit verändern werden.</t>
        </is>
      </c>
      <c r="H304" t="inlineStr" s="2">
        <is>
          <t xml:space="preserve">Aus diesem Grund sollte der Operationssaal nicht nur als klinischer Arbeitsbereich betrachtet werden, sondern als strategische Infrastruktur – deren langfristiger Wert davon abhängt, wie gut Systeme, Arbeitsabläufe und Servicekonzepte im Alltag zusammenspielen.</t>
        </is>
      </c>
      <c r="I304" t="inlineStr" s="2">
        <is>
          <t xml:space="preserve">Sind Systeme hingegen aufeinander abgestimmt, sind weniger manuelle Anpassungen erforderlich. Aufbauten werden konsistenter, die Vorbereitung planbarer und vorhandene Kapazitäten können in der Praxis besser genutzt werden.</t>
        </is>
      </c>
      <c r="J304" s="4"/>
      <c r="K304" s="2"/>
      <c r="L304" t="str" s="3">
        <f>HYPERLINK("https://www.getinge.com/de/news-und-events/neuigkeiten/gesundheitswesen/op-oekosysteme/","/news-und-events/neuigkeiten/gesundheitswesen/op-oekosysteme/")</f>
        <v>/news-und-events/neuigkeiten/gesundheitswesen/op-oekosysteme/</v>
      </c>
    </row>
    <row r="305">
      <c r="A305" s="0">
        <v>304</v>
      </c>
      <c r="B305" t="str" s="3">
        <f>HYPERLINK("https://www.getinge.com/int/insights/updates/healthcare/or-ecosystems/","/insights/updates/healthcare/or-ecosystems/")</f>
        <v>/insights/updates/healthcare/or-ecosystems/</v>
      </c>
      <c r="C305" t="inlineStr" s="2">
        <is>
          <t xml:space="preserve">From individual solutions to coordinated environments</t>
        </is>
      </c>
      <c r="D305" s="2"/>
      <c r="F305" s="4"/>
      <c r="G305" t="inlineStr" s="2">
        <is>
          <t xml:space="preserve">Wie abgestimmte OP-Umgebungen nachhaltigen Mehrwert schaffen</t>
        </is>
      </c>
      <c r="H305" t="inlineStr" s="2">
        <is>
          <t xml:space="preserve">Operative Stabilität als Grundlage langfristigen Mehrwerts</t>
        </is>
      </c>
      <c r="I305" t="inlineStr" s="2">
        <is>
          <t xml:space="preserve">Nutzbare Kapazität hängt davon ab, wie Arbeit tatsächlich erfolgt</t>
        </is>
      </c>
      <c r="J305" s="4"/>
      <c r="K305" s="2"/>
      <c r="L305" t="str" s="3">
        <f>HYPERLINK("https://www.getinge.com/de/news-und-events/neuigkeiten/gesundheitswesen/op-oekosysteme/","/news-und-events/neuigkeiten/gesundheitswesen/op-oekosysteme/")</f>
        <v>/news-und-events/neuigkeiten/gesundheitswesen/op-oekosysteme/</v>
      </c>
    </row>
    <row r="306">
      <c r="A306" s="0">
        <v>305</v>
      </c>
      <c r="B306" t="str" s="3">
        <f>HYPERLINK("https://www.getinge.com/int/insights/updates/healthcare/or-ecosystems/","/insights/updates/healthcare/or-ecosystems/")</f>
        <v>/insights/updates/healthcare/or-ecosystems/</v>
      </c>
      <c r="C306" t="inlineStr" s="2">
        <is>
          <t xml:space="preserve">Most ORs are the result of many individual decisions over time. Each investment solves a specific need, but the overall environment is rarely developed as a coordinated system.</t>
        </is>
      </c>
      <c r="D306" t="inlineStr" s="2">
        <is>
          <t xml:space="preserve">Die meisten Operationssäle sind das Ergebnis zahlreicher Einzelentscheidungen über viele Jahre hinweg. Jede Investition löst ein konkretes Problem – die Gesamtumgebung wird jedoch nur selten ganzheitlich weiterentwickelt.</t>
        </is>
      </c>
      <c r="E306" t="inlineStr" s="0">
        <is>
          <t xml:space="preserve">Low</t>
        </is>
      </c>
      <c r="F306" s="4"/>
      <c r="G306" t="inlineStr" s="2">
        <is>
          <t xml:space="preserve">Sind Systeme hingegen aufeinander abgestimmt, sind weniger manuelle Anpassungen erforderlich. Aufbauten werden konsistenter, die Vorbereitung planbarer und vorhandene Kapazitäten können in der Praxis besser genutzt werden.</t>
        </is>
      </c>
      <c r="H306" t="inlineStr" s="2">
        <is>
          <t xml:space="preserve">Eine abgestimmte OP-Umgebung verfolgt einen anderen Ansatz. Sie betrachtet, wie Arbeitsabläufe, Ausstattung, digitale Systeme und Serviceprozesse zusammenwirken – und wie sich diese Wechselwirkungen im Laufe der Zeit verändern werden.</t>
        </is>
      </c>
      <c r="I306" t="inlineStr" s="2">
        <is>
          <t xml:space="preserve">Klinische Exzellenz bleibt die Grundlage jeder chirurgischen Versorgung. Langfristig erhalten werden kann sie jedoch nur dann, wenn die OP-Umgebung die tägliche Arbeit zuverlässig unterstützt.</t>
        </is>
      </c>
      <c r="J306" s="4"/>
      <c r="K306" s="2"/>
      <c r="L306" t="str" s="3">
        <f>HYPERLINK("https://www.getinge.com/de/news-und-events/neuigkeiten/gesundheitswesen/op-oekosysteme/","/news-und-events/neuigkeiten/gesundheitswesen/op-oekosysteme/")</f>
        <v>/news-und-events/neuigkeiten/gesundheitswesen/op-oekosysteme/</v>
      </c>
    </row>
    <row r="307">
      <c r="A307" s="0">
        <v>306</v>
      </c>
      <c r="B307" t="str" s="3">
        <f>HYPERLINK("https://www.getinge.com/int/insights/updates/healthcare/or-ecosystems/","/insights/updates/healthcare/or-ecosystems/")</f>
        <v>/insights/updates/healthcare/or-ecosystems/</v>
      </c>
      <c r="C307" t="inlineStr" s="2">
        <is>
          <t xml:space="preserve">These decisions are often made under time pressure – for example when rooms are unavailable or require urgent updates. In such situations, existing concepts are frequently replicated. This saves time in the moment, but it also carries forward existing limitations.</t>
        </is>
      </c>
      <c r="D307" t="inlineStr" s="2">
        <is>
          <t xml:space="preserve">Hinzu kommt, dass viele Entscheidungen unter Zeitdruck getroffen werden. Wenn ein OP-Saal ausfällt oder kurzfristig modernisiert werden muss, werden bestehende Konzepte häufig einfach übernommen. Das spart zunächst Zeit, führt jedoch auch dazu, dass bestehende Einschränkungen fortgeschrieben werden.</t>
        </is>
      </c>
      <c r="E307" t="inlineStr" s="0">
        <is>
          <t xml:space="preserve">Low</t>
        </is>
      </c>
      <c r="F307" s="4"/>
      <c r="G307" t="inlineStr" s="2">
        <is>
          <t xml:space="preserve">Anders verhält es sich in Umgebungen, die auf schrittweise Weiterentwicklung ausgelegt sind. Dort können Systeme ausgetauscht oder erweitert werden, ohne bestehende Arbeitsabläufe grundlegend zu beeinträchtigen. Der Operationssaal bleibt langfristig nutzbar, während aufwendige strukturelle Umbauten vermieden werden können.</t>
        </is>
      </c>
      <c r="H307" t="inlineStr" s="2">
        <is>
          <t xml:space="preserve">Chirurgische Zeitpläne setzen voraus, dass zahlreiche Systeme gleichzeitig verfügbar und einsatzbereit sind. Schon kleine Störungen können Auswirkungen auf den gesamten Tagesablauf haben – von der Personalplanung über die Auslastung der OP-Säle bis hin zum Patientenfluss.</t>
        </is>
      </c>
      <c r="I307" t="inlineStr" s="2">
        <is>
          <t xml:space="preserve">Aus diesem Grund sollte der Operationssaal nicht nur als klinischer Arbeitsbereich betrachtet werden, sondern als strategische Infrastruktur – deren langfristiger Wert davon abhängt, wie gut Systeme, Arbeitsabläufe und Servicekonzepte im Alltag zusammenspielen.</t>
        </is>
      </c>
      <c r="J307" s="4"/>
      <c r="K307" s="2"/>
      <c r="L307" t="str" s="3">
        <f>HYPERLINK("https://www.getinge.com/de/news-und-events/neuigkeiten/gesundheitswesen/op-oekosysteme/","/news-und-events/neuigkeiten/gesundheitswesen/op-oekosysteme/")</f>
        <v>/news-und-events/neuigkeiten/gesundheitswesen/op-oekosysteme/</v>
      </c>
    </row>
    <row r="308">
      <c r="A308" s="0">
        <v>307</v>
      </c>
      <c r="B308" t="str" s="3">
        <f>HYPERLINK("https://www.getinge.com/int/insights/updates/healthcare/or-ecosystems/","/insights/updates/healthcare/or-ecosystems/")</f>
        <v>/insights/updates/healthcare/or-ecosystems/</v>
      </c>
      <c r="C308" t="inlineStr" s="2">
        <is>
          <t xml:space="preserve">A coordinated environment starts from a different point. It looks at how workflows, equipment, digital systems, and service processes interact – and how these interactions will evolve over time. This reduces friction in daily work and makes it easier to handle changes later on.</t>
        </is>
      </c>
      <c r="D308" s="2"/>
      <c r="F308" s="4"/>
      <c r="G308" t="inlineStr" s="2">
        <is>
          <t xml:space="preserve">Je mehr Technologien hinzukommen und je stärker sich Arbeitsabläufe weiterentwickeln, desto wichtiger wird die Abstimmung zwischen den einzelnen Elementen. Einzelne Systeme können zwar wie vorgesehen funktionieren, langfristiger Mehrwert entsteht jedoch erst dann, wenn die gesamte OP-Umgebung im täglichen Betrieb zuverlässig zusammenspielt.</t>
        </is>
      </c>
      <c r="H308" t="inlineStr" s="2">
        <is>
          <t xml:space="preserve">Anders verhält es sich in Umgebungen, die auf schrittweise Weiterentwicklung ausgelegt sind. Dort können Systeme ausgetauscht oder erweitert werden, ohne bestehende Arbeitsabläufe grundlegend zu beeinträchtigen. Der Operationssaal bleibt langfristig nutzbar, während aufwendige strukturelle Umbauten vermieden werden können.</t>
        </is>
      </c>
      <c r="I308" t="inlineStr" s="2">
        <is>
          <t xml:space="preserve">Aus diesem Grund sollte der Operationssaal nicht nur als klinischer Arbeitsbereich betrachtet werden, sondern als strategische Infrastruktur – deren langfristiger Wert davon abhängt, wie gut Systeme, Arbeitsabläufe und Servicekonzepte im Alltag zusammenspielen.</t>
        </is>
      </c>
      <c r="J308" s="4"/>
      <c r="K308" s="2"/>
      <c r="L308" t="str" s="3">
        <f>HYPERLINK("https://www.getinge.com/de/news-und-events/neuigkeiten/gesundheitswesen/op-oekosysteme/","/news-und-events/neuigkeiten/gesundheitswesen/op-oekosysteme/")</f>
        <v>/news-und-events/neuigkeiten/gesundheitswesen/op-oekosysteme/</v>
      </c>
    </row>
    <row r="309">
      <c r="A309" s="0">
        <v>308</v>
      </c>
      <c r="B309" t="str" s="3">
        <f>HYPERLINK("https://www.getinge.com/int/insights/updates/healthcare/or-ecosystems/","/insights/updates/healthcare/or-ecosystems/")</f>
        <v>/insights/updates/healthcare/or-ecosystems/</v>
      </c>
      <c r="C309" t="inlineStr" s="2">
        <is>
          <t xml:space="preserve">The OR as a strategic infrastructure asset</t>
        </is>
      </c>
      <c r="D309" t="inlineStr" s="2">
        <is>
          <t xml:space="preserve">Der Operationssaal als strategische Infrastruktur</t>
        </is>
      </c>
      <c r="E309" t="inlineStr" s="0">
        <is>
          <t xml:space="preserve">High</t>
        </is>
      </c>
      <c r="F309" s="4"/>
      <c r="G309" t="inlineStr" s="2">
        <is>
          <t xml:space="preserve">Von Einzellösungen zu abgestimmten OP-Umgebungen</t>
        </is>
      </c>
      <c r="H309" t="inlineStr" s="2">
        <is>
          <t xml:space="preserve">Anpassungsfähigkeit schützt langfristige Investitionen</t>
        </is>
      </c>
      <c r="I309" t="inlineStr" s="2">
        <is>
          <t xml:space="preserve">Operative Stabilität als Grundlage langfristigen Mehrwerts</t>
        </is>
      </c>
      <c r="J309" s="4"/>
      <c r="K309" s="2"/>
      <c r="L309" t="str" s="3">
        <f>HYPERLINK("https://www.getinge.com/de/news-und-events/neuigkeiten/gesundheitswesen/op-oekosysteme/","/news-und-events/neuigkeiten/gesundheitswesen/op-oekosysteme/")</f>
        <v>/news-und-events/neuigkeiten/gesundheitswesen/op-oekosysteme/</v>
      </c>
    </row>
    <row r="310">
      <c r="A310" s="0">
        <v>309</v>
      </c>
      <c r="B310" t="str" s="3">
        <f>HYPERLINK("https://www.getinge.com/int/insights/updates/healthcare/or-ecosystems/","/insights/updates/healthcare/or-ecosystems/")</f>
        <v>/insights/updates/healthcare/or-ecosystems/</v>
      </c>
      <c r="C310" t="inlineStr" s="2">
        <is>
          <t xml:space="preserve">This is where partners such as Getinge come into play – bringing together equipment, digital solutions, and service concepts with a system-level understanding of the operating room and its long-term requirements.</t>
        </is>
      </c>
      <c r="D310" t="inlineStr" s="2">
        <is>
          <t xml:space="preserve">Hier kommen Partner wie Getinge ins Spiel: mit einem ganzheitlichen Verständnis für den Operationssaal und seinen langfristigen Anforderungen sowie der Fähigkeit, Ausstattung, digitale Lösungen und Servicekonzepte sinnvoll miteinander zu verbinden.</t>
        </is>
      </c>
      <c r="E310" t="inlineStr" s="0">
        <is>
          <t xml:space="preserve">Medium</t>
        </is>
      </c>
      <c r="F310" s="4"/>
      <c r="G310" t="inlineStr" s="2">
        <is>
          <t xml:space="preserve">Eine abgestimmte OP-Umgebung verfolgt einen anderen Ansatz. Sie betrachtet, wie Arbeitsabläufe, Ausstattung, digitale Systeme und Serviceprozesse zusammenwirken – und wie sich diese Wechselwirkungen im Laufe der Zeit verändern werden.</t>
        </is>
      </c>
      <c r="H310" t="inlineStr" s="2">
        <is>
          <t xml:space="preserve">Aus diesem Grund sollte der Operationssaal nicht nur als klinischer Arbeitsbereich betrachtet werden, sondern als strategische Infrastruktur – deren langfristiger Wert davon abhängt, wie gut Systeme, Arbeitsabläufe und Servicekonzepte im Alltag zusammenspielen.</t>
        </is>
      </c>
      <c r="I310" t="inlineStr" s="2">
        <is>
          <t xml:space="preserve">Die meisten Operationssäle sind das Ergebnis zahlreicher Einzelentscheidungen über viele Jahre hinweg. Jede Investition löst ein konkretes Problem – die Gesamtumgebung wird jedoch nur selten ganzheitlich weiterentwickelt.</t>
        </is>
      </c>
      <c r="J310" s="4"/>
      <c r="K310" s="2"/>
      <c r="L310" t="str" s="3">
        <f>HYPERLINK("https://www.getinge.com/de/news-und-events/neuigkeiten/gesundheitswesen/op-oekosysteme/","/news-und-events/neuigkeiten/gesundheitswesen/op-oekosysteme/")</f>
        <v>/news-und-events/neuigkeiten/gesundheitswesen/op-oekosysteme/</v>
      </c>
    </row>
    <row r="311">
      <c r="A311" s="0">
        <v>310</v>
      </c>
      <c r="B311" t="str" s="3">
        <f>HYPERLINK("https://www.getinge.com/int/insights/updates/healthcare/or-lighting-in-focus/","/insights/updates/healthcare/or-lighting-in-focus/")</f>
        <v>/insights/updates/healthcare/or-lighting-in-focus/</v>
      </c>
      <c r="C311" t="inlineStr" s="2">
        <is>
          <t xml:space="preserve">How this strain can be reduced was investigated in a study involving 50 participants [8]. Around 80% of participants preferred lighting where the surgical field does not abruptly transition into darkness but instead features a gradual transition to the surrounding area – so-called transition lighting.</t>
        </is>
      </c>
      <c r="D311" t="inlineStr" s="2">
        <is>
          <t xml:space="preserve">Wie sich diese Belastung reduzieren lässt, wurde in einer Studie mit 50 Teilnehmern untersucht [8]. Rund 80 % der Teilnehmenden bevorzugten eine Beleuchtung, bei der das Operationsfeld nicht abrupt in Dunkelheit übergeht, sondern einen schrittweisen Übergang zur Umgebung aufweist - eine sogenannte Übergangsbeleuchtung. Die Untersuchung zeigt, dass diese Form der Beleuchtung:</t>
        </is>
      </c>
      <c r="E311" t="inlineStr" s="0">
        <is>
          <t xml:space="preserve">Medium</t>
        </is>
      </c>
      <c r="F311" s="4"/>
      <c r="G311" s="2"/>
      <c r="H311" s="2"/>
      <c r="I311" s="2"/>
      <c r="J311" s="4"/>
      <c r="K311" s="2"/>
      <c r="L311" t="str" s="3">
        <f>HYPERLINK("https://www.getinge.com/de/news-und-events/neuigkeiten/gesundheitswesen/op-beleuchtung-im-fokus/","/news-und-events/neuigkeiten/gesundheitswesen/op-beleuchtung-im-fokus/")</f>
        <v>/news-und-events/neuigkeiten/gesundheitswesen/op-beleuchtung-im-fokus/</v>
      </c>
    </row>
    <row r="312">
      <c r="A312" s="0">
        <v>311</v>
      </c>
      <c r="B312" t="str" s="3">
        <f>HYPERLINK("https://www.getinge.com/int/insights/updates/healthcare/or-lighting-in-focus/","/insights/updates/healthcare/or-lighting-in-focus/")</f>
        <v>/insights/updates/healthcare/or-lighting-in-focus/</v>
      </c>
      <c r="C312" t="inlineStr" s="2">
        <is>
          <t xml:space="preserve">The study shows that this type of lighting can:</t>
        </is>
      </c>
      <c r="D312" s="2"/>
      <c r="F312" s="4"/>
      <c r="G312" t="inlineStr" s="2">
        <is>
          <t xml:space="preserve">Weitere Informationen zum Thema finden Sie in unserem kostenlosen White Paper.</t>
        </is>
      </c>
      <c r="H312" t="inlineStr" s="2">
        <is>
          <t xml:space="preserve">das Müdigkeitsgefühl verringert</t>
        </is>
      </c>
      <c r="I312" s="2"/>
      <c r="J312" s="4"/>
      <c r="K312" s="2"/>
      <c r="L312" t="str" s="3">
        <f>HYPERLINK("https://www.getinge.com/de/news-und-events/neuigkeiten/gesundheitswesen/op-beleuchtung-im-fokus/","/news-und-events/neuigkeiten/gesundheitswesen/op-beleuchtung-im-fokus/")</f>
        <v>/news-und-events/neuigkeiten/gesundheitswesen/op-beleuchtung-im-fokus/</v>
      </c>
    </row>
    <row r="313">
      <c r="A313" s="0">
        <v>312</v>
      </c>
      <c r="B313" t="str" s="3">
        <f>HYPERLINK("https://www.getinge.com/int/insights/updates/healthcare/or-lighting-in-focus/","/insights/updates/healthcare/or-lighting-in-focus/")</f>
        <v>/insights/updates/healthcare/or-lighting-in-focus/</v>
      </c>
      <c r="C313" t="inlineStr" s="2">
        <is>
          <t xml:space="preserve">reduce error rates in color perception tests [8]</t>
        </is>
      </c>
      <c r="D313" t="inlineStr" s="2">
        <is>
          <t xml:space="preserve">die Fehlerzahl bei Farbtests senkt [8]</t>
        </is>
      </c>
      <c r="E313" t="inlineStr" s="0">
        <is>
          <t xml:space="preserve">Medium</t>
        </is>
      </c>
      <c r="F313" s="4"/>
      <c r="G313" s="2"/>
      <c r="H313" s="2"/>
      <c r="I313" s="2"/>
      <c r="J313" s="4"/>
      <c r="K313" s="2"/>
      <c r="L313" t="str" s="3">
        <f>HYPERLINK("https://www.getinge.com/de/news-und-events/neuigkeiten/gesundheitswesen/op-beleuchtung-im-fokus/","/news-und-events/neuigkeiten/gesundheitswesen/op-beleuchtung-im-fokus/")</f>
        <v>/news-und-events/neuigkeiten/gesundheitswesen/op-beleuchtung-im-fokus/</v>
      </c>
    </row>
    <row r="314">
      <c r="A314" s="0">
        <v>313</v>
      </c>
      <c r="B314" t="str" s="3">
        <f>HYPERLINK("https://www.getinge.com/int/insights/updates/healthcare/or-lighting-in-focus/","/insights/updates/healthcare/or-lighting-in-focus/")</f>
        <v>/insights/updates/healthcare/or-lighting-in-focus/</v>
      </c>
      <c r="C314" t="inlineStr" s="2">
        <is>
          <t xml:space="preserve">These findings have been implemented, for example, in the Maquet PowerLED surgical light with the Comfort Light function, which enables such a graded light distribution.</t>
        </is>
      </c>
      <c r="D314" t="inlineStr" s="2">
        <is>
          <t xml:space="preserve">Diese Erkenntnisse wurden unter anderem in der OP-Leuchte Maquet PowerLED mit der Funktion Comfort Light umgesetzt, die eine solche abgestufte Lichtverteilung ermöglicht.</t>
        </is>
      </c>
      <c r="E314" t="inlineStr" s="0">
        <is>
          <t xml:space="preserve">Medium</t>
        </is>
      </c>
      <c r="F314" s="4"/>
      <c r="G314" t="inlineStr" s="2">
        <is>
          <t xml:space="preserve">Beleuchtung ist damit nicht isoliert zu betrachten, sondern als Teil eines funktionierenden OP-Systems.</t>
        </is>
      </c>
      <c r="H314" s="2"/>
      <c r="I314" s="2"/>
      <c r="J314" s="4"/>
      <c r="K314" s="2"/>
      <c r="L314" t="str" s="3">
        <f>HYPERLINK("https://www.getinge.com/de/news-und-events/neuigkeiten/gesundheitswesen/op-beleuchtung-im-fokus/","/news-und-events/neuigkeiten/gesundheitswesen/op-beleuchtung-im-fokus/")</f>
        <v>/news-und-events/neuigkeiten/gesundheitswesen/op-beleuchtung-im-fokus/</v>
      </c>
    </row>
    <row r="315">
      <c r="A315" s="0">
        <v>314</v>
      </c>
      <c r="B315" t="str" s="3">
        <f>HYPERLINK("https://www.getinge.com/int/insights/updates/healthcare/or-lighting-in-focus/","/insights/updates/healthcare/or-lighting-in-focus/")</f>
        <v>/insights/updates/healthcare/or-lighting-in-focus/</v>
      </c>
      <c r="C315" t="inlineStr" s="2">
        <is>
          <t xml:space="preserve">Lighting should therefore not be considered in isolation, but as an integral part of a well-functioning OR system.</t>
        </is>
      </c>
      <c r="D315" t="inlineStr" s="2">
        <is>
          <t xml:space="preserve">Beleuchtung ist damit nicht isoliert zu betrachten, sondern als Teil eines funktionierenden OP-Systems.</t>
        </is>
      </c>
      <c r="E315" t="inlineStr" s="0">
        <is>
          <t xml:space="preserve">Medium</t>
        </is>
      </c>
      <c r="F315" s="4"/>
      <c r="G315" t="inlineStr" s="2">
        <is>
          <t xml:space="preserve">Diese Erkenntnisse wurden unter anderem in der OP-Leuchte Maquet PowerLED mit der Funktion Comfort Light umgesetzt, die eine solche abgestufte Lichtverteilung ermöglicht.</t>
        </is>
      </c>
      <c r="H315" t="inlineStr" s="2">
        <is>
          <t xml:space="preserve">Weitere Informationen zum Thema finden Sie in unserem kostenlosen White Paper.</t>
        </is>
      </c>
      <c r="I315" s="2"/>
      <c r="J315" s="4"/>
      <c r="K315" s="2"/>
      <c r="L315" t="str" s="3">
        <f>HYPERLINK("https://www.getinge.com/de/news-und-events/neuigkeiten/gesundheitswesen/op-beleuchtung-im-fokus/","/news-und-events/neuigkeiten/gesundheitswesen/op-beleuchtung-im-fokus/")</f>
        <v>/news-und-events/neuigkeiten/gesundheitswesen/op-beleuchtung-im-fokus/</v>
      </c>
    </row>
    <row r="316">
      <c r="A316" s="0">
        <v>315</v>
      </c>
      <c r="B316" t="str" s="3">
        <f>HYPERLINK("https://www.getinge.com/int/insights/updates/healthcare/partnering-for-results-how-getinges-htp-model-drives-healthcare-transformation/","/insights/updates/healthcare/partnering-for-results-how-getinges-htp-model-drives-healthcare-transformation/")</f>
        <v>/insights/updates/healthcare/partnering-for-results-how-getinges-htp-model-drives-healthcare-transformation/</v>
      </c>
      <c r="C316" t="inlineStr" s="2">
        <is>
          <t xml:space="preserve">Getinge offers more than high-quality medical devices and IT solutions – we focus on building long-term, value-based partnerships with healthcare providers. Through Hospital Transformational Partnerships (HTPs), we collaborate closely with hospital teams to improve outcomes, increase efficiency, and enhance both patient and staff experiences. These partnerships go beyond equipment delivery. They are rooted in consulting, performance commitment, and measurable results aligned with each hospital’s strategic goals.</t>
        </is>
      </c>
      <c r="D316" t="inlineStr" s="2">
        <is>
          <t xml:space="preserve">Getinge bietet mehr als hochwertige Medizinprodukte und IT-Lösungen – wir legen den Fokus auf den Aufbau langfristiger, wertorientierter Partnerschaften mit Gesundheitseinrichtungen. Durch Hospital Transformational Partnerships (HTPs) arbeiten wir eng mit Krankenhaus-Teams zusammen, um Ergebnisse zu verbessern, Effizienz zu steigern und sowohl Patienten- als auch Mitarbeitererfahrungen zu optimieren. Diese Partnerschaften gehen weit über die reine Gerätebereitstellung hinaus. Sie basieren auf Beratung, Leistungszusagen und messbaren Resultaten, die auf die strategischen Ziele jedes Krankenhauses abgestimmt sind.</t>
        </is>
      </c>
      <c r="E316" t="inlineStr" s="0">
        <is>
          <t xml:space="preserve">Medium</t>
        </is>
      </c>
      <c r="F316" s="4"/>
      <c r="G316" t="inlineStr" s="2">
        <is>
          <t xml:space="preserve">Ein zentrales Element des Projekts war die Einführung von INSIGHT, Getinges digitaler Lösung für Patientenflussmanagement. Das System ermöglichte dem Personal den Echtzeitzugriff auf entscheidende Betriebsdaten – darunter die Anzahl der aufgenommenen Patienten, erforderliche Versorgungsstufen, geplante Aktivitäten und voraussichtliche Entlassungszeiten. Durch die Einführung mobiler Endgeräte und den digitalen Zugriff auf Informationen konnten Mitarbeitende ihre Arbeitsabläufe proaktiver steuern und im Tagesverlauf schneller und fundierter Entscheidungen treffen.</t>
        </is>
      </c>
      <c r="H316" t="inlineStr" s="2">
        <is>
          <t xml:space="preserve">Ein eindrucksvolles Beispiel für die Umsetzung des Hospital Transformational Partnership (HTP)-Ansatzes ist die Zusammenarbeit mit dem Universitätskrankenhaus Norrland in der Region Västerbotten, Schweden. Als größter Anbieter öffentlicher Gesundheitsleistungen der Region stand das Krankenhaus vor wachsenden Herausforderungen in Bezug auf Patientendurchlauf, Ressourcenzuteilung und Informationsfluss in der medizinischen Notaufnahme (MAVA).</t>
        </is>
      </c>
      <c r="I316" t="inlineStr" s="2">
        <is>
          <t xml:space="preserve">Das Ziel der Partnerschaft war klar: die Qualität und Effizienz der Versorgung zu verbessern – ohne Erhöhung der Personalzahlen. Zur Erreichung dieses Ziels wurde ein gemeinsamer Transformationsprozess gestartet, basierend auf den vier HTP-Prinzipien: Bedarfe und Prioritäten festlegen, Verbesserungsfelder definieren, gezielte Lösungen implementieren und in nachhaltige Veränderungen investieren.</t>
        </is>
      </c>
      <c r="J316" s="4"/>
      <c r="K316" s="2"/>
      <c r="L316" t="str" s="3">
        <f>HYPERLINK("https://www.getinge.com/de/news-und-events/neuigkeiten/gesundheitswesen/wie-getinges-htp-model-die-transformation-im-gesundheitswesen-vorantreibt/","/news-und-events/neuigkeiten/gesundheitswesen/wie-getinges-htp-model-die-transformation-im-gesundheitswesen-vorantreibt/")</f>
        <v>/news-und-events/neuigkeiten/gesundheitswesen/wie-getinges-htp-model-die-transformation-im-gesundheitswesen-vorantreibt/</v>
      </c>
    </row>
    <row r="317">
      <c r="A317" s="0">
        <v>316</v>
      </c>
      <c r="B317" t="str" s="3">
        <f>HYPERLINK("https://www.getinge.com/int/insights/updates/healthcare/partnering-for-results-how-getinges-htp-model-drives-healthcare-transformation/","/insights/updates/healthcare/partnering-for-results-how-getinges-htp-model-drives-healthcare-transformation/")</f>
        <v>/insights/updates/healthcare/partnering-for-results-how-getinges-htp-model-drives-healthcare-transformation/</v>
      </c>
      <c r="C317" t="inlineStr" s="2">
        <is>
          <t xml:space="preserve">HTPs are built on trust, transparency, and performance. Instead of traditional transactional models, these partnerships are based on value-based agreements that include Getinge’s commitment to support device performance, process improvements, and measurable outcomes – always in alignment with each hospital’s strategy and KPIs.</t>
        </is>
      </c>
      <c r="D317" t="inlineStr" s="2">
        <is>
          <t xml:space="preserve">HTPs beruhen auf Vertrauen, Transparenz und Leistung. Anstelle traditioneller transaktionaler Modelle basieren diese Partnerschaften auf wertorientierten Vereinbarungen, die Getinges Engagement für Geräteleistung, Prozessoptimierung und messbare Ergebnisse einschließen – stets im Einklang mit der Strategie und den KPIs des jeweiligen Krankenhauses.</t>
        </is>
      </c>
      <c r="E317" t="inlineStr" s="0">
        <is>
          <t xml:space="preserve">Medium</t>
        </is>
      </c>
      <c r="F317" s="4"/>
      <c r="G317" t="inlineStr" s="2">
        <is>
          <t xml:space="preserve">Dieses HTP-Pilotprojekt verbesserte nicht nur die Patientenlogistik und operative Effizienz der MAVA, sondern bildete auch die Grundlage für eine umfassendere digitale Transformationsstrategie in der gesamten Region Västerbotten. Es zeigt, wie das HTP-Modell greifbare Ergebnisse erzielen kann – schnell, gemeinschaftlich und mit langfristiger Perspektive.</t>
        </is>
      </c>
      <c r="H317" t="inlineStr" s="2">
        <is>
          <t xml:space="preserve">Das Ziel der Partnerschaft war klar: die Qualität und Effizienz der Versorgung zu verbessern – ohne Erhöhung der Personalzahlen. Zur Erreichung dieses Ziels wurde ein gemeinsamer Transformationsprozess gestartet, basierend auf den vier HTP-Prinzipien: Bedarfe und Prioritäten festlegen, Verbesserungsfelder definieren, gezielte Lösungen implementieren und in nachhaltige Veränderungen investieren.</t>
        </is>
      </c>
      <c r="I317" t="inlineStr" s="2">
        <is>
          <t xml:space="preserve">Die Transformation umfasste außerdem die Neugestaltung von Abläufen, die Stärkung der internen Kommunikation sowie die Einführung neuer digitaler Dokumentationsprozesse. Change-Management-Maßnahmen und Schulungen waren entscheidend für den Erfolg der Initiative, um eine hohe Akzeptanz und nachhaltige Wirkung sicherzustellen.</t>
        </is>
      </c>
      <c r="J317" s="4"/>
      <c r="K317" s="2"/>
      <c r="L317" t="str" s="3">
        <f>HYPERLINK("https://www.getinge.com/de/news-und-events/neuigkeiten/gesundheitswesen/wie-getinges-htp-model-die-transformation-im-gesundheitswesen-vorantreibt/","/news-und-events/neuigkeiten/gesundheitswesen/wie-getinges-htp-model-die-transformation-im-gesundheitswesen-vorantreibt/")</f>
        <v>/news-und-events/neuigkeiten/gesundheitswesen/wie-getinges-htp-model-die-transformation-im-gesundheitswesen-vorantreibt/</v>
      </c>
    </row>
    <row r="318">
      <c r="A318" s="0">
        <v>317</v>
      </c>
      <c r="B318" t="str" s="3">
        <f>HYPERLINK("https://www.getinge.com/int/insights/updates/healthcare/partnering-for-results-how-getinges-htp-model-drives-healthcare-transformation/","/insights/updates/healthcare/partnering-for-results-how-getinges-htp-model-drives-healthcare-transformation/")</f>
        <v>/insights/updates/healthcare/partnering-for-results-how-getinges-htp-model-drives-healthcare-transformation/</v>
      </c>
      <c r="C318" t="inlineStr" s="2">
        <is>
          <t xml:space="preserve">At the heart of every Hospital Transformational Partnership (HTP) lies a clear, four-step framework – designed to align with each hospital’s strategic goals and deliver measurable results.</t>
        </is>
      </c>
      <c r="D318" t="inlineStr" s="2">
        <is>
          <t xml:space="preserve">Im Mittelpunkt jeder Hospital Transformational Partnership (HTP) steht ein klares, vierstufiges Framework, das auf die strategischen Ziele des Krankenhauses ausgerichtet ist und messbare Ergebnisse liefert:</t>
        </is>
      </c>
      <c r="E318" t="inlineStr" s="0">
        <is>
          <t xml:space="preserve">Medium</t>
        </is>
      </c>
      <c r="F318" s="4"/>
      <c r="G318" t="inlineStr" s="2">
        <is>
          <t xml:space="preserve">Bedarfe und Prioritäten ermitteln Gemeinsam mit der Krankenhausleitung führen wir eine Analyse durch, um klinische und operative Herausforderungen zu identifizieren – stets im Einklang mit der institutionellen Strategie.</t>
        </is>
      </c>
      <c r="H318" t="inlineStr" s="2">
        <is>
          <t xml:space="preserve">Langfristige Partnerschaft &amp; Investition Auch nach der Umsetzung bleiben wir ein engagierter Partner, der langfristige Wirkung durch kontinuierliche Zusammenarbeit, Leistungsüberwachung und Skalierung der Lösungen unterstützt.</t>
        </is>
      </c>
      <c r="I318" t="inlineStr" s="2">
        <is>
          <t xml:space="preserve">Lösungen &amp; Ergebnisse Auf Grundlage dieser Erkenntnisse setzen wir gezielte Maßnahmen um – einschließlich digitaler Lösungen, Prozessneugestaltungen oder Change-Management-Initiativen – mit klarem Fokus auf die angestrebten Ergebnisse.</t>
        </is>
      </c>
      <c r="J318" s="4"/>
      <c r="K318" s="2"/>
      <c r="L318" t="str" s="3">
        <f>HYPERLINK("https://www.getinge.com/de/news-und-events/neuigkeiten/gesundheitswesen/wie-getinges-htp-model-die-transformation-im-gesundheitswesen-vorantreibt/","/news-und-events/neuigkeiten/gesundheitswesen/wie-getinges-htp-model-die-transformation-im-gesundheitswesen-vorantreibt/")</f>
        <v>/news-und-events/neuigkeiten/gesundheitswesen/wie-getinges-htp-model-die-transformation-im-gesundheitswesen-vorantreibt/</v>
      </c>
    </row>
    <row r="319">
      <c r="A319" s="0">
        <v>318</v>
      </c>
      <c r="B319" t="str" s="3">
        <f>HYPERLINK("https://www.getinge.com/int/insights/updates/healthcare/partnering-for-results-how-getinges-htp-model-drives-healthcare-transformation/","/insights/updates/healthcare/partnering-for-results-how-getinges-htp-model-drives-healthcare-transformation/")</f>
        <v>/insights/updates/healthcare/partnering-for-results-how-getinges-htp-model-drives-healthcare-transformation/</v>
      </c>
      <c r="C319" t="inlineStr" s="2">
        <is>
          <t xml:space="preserve">Establish needs and priorities Together with hospital leadership, we conduct a joint analysis to identify clinical and operational challenges, aligned with institutional strategy.</t>
        </is>
      </c>
      <c r="D319" t="inlineStr" s="2">
        <is>
          <t xml:space="preserve">Bedarfe und Prioritäten ermitteln Gemeinsam mit der Krankenhausleitung führen wir eine Analyse durch, um klinische und operative Herausforderungen zu identifizieren – stets im Einklang mit der institutionellen Strategie.</t>
        </is>
      </c>
      <c r="E319" t="inlineStr" s="0">
        <is>
          <t xml:space="preserve">Medium</t>
        </is>
      </c>
      <c r="F319" s="4"/>
      <c r="G319" t="inlineStr" s="2">
        <is>
          <t xml:space="preserve">Im Mittelpunkt jeder Hospital Transformational Partnership (HTP) steht ein klares, vierstufiges Framework, das auf die strategischen Ziele des Krankenhauses ausgerichtet ist und messbare Ergebnisse liefert:</t>
        </is>
      </c>
      <c r="H319" t="inlineStr" s="2">
        <is>
          <t xml:space="preserve">Verbesserungsfelder festlegen Wir priorisieren die wichtigsten Handlungsfelder und definieren Ziele auf Basis von Daten und Feedback aus klinischen und administrativen Bereichen.</t>
        </is>
      </c>
      <c r="I319" t="inlineStr" s="2">
        <is>
          <t xml:space="preserve">Langfristige Partnerschaft &amp; Investition Auch nach der Umsetzung bleiben wir ein engagierter Partner, der langfristige Wirkung durch kontinuierliche Zusammenarbeit, Leistungsüberwachung und Skalierung der Lösungen unterstützt.</t>
        </is>
      </c>
      <c r="J319" s="4"/>
      <c r="K319" s="2"/>
      <c r="L319" t="str" s="3">
        <f>HYPERLINK("https://www.getinge.com/de/news-und-events/neuigkeiten/gesundheitswesen/wie-getinges-htp-model-die-transformation-im-gesundheitswesen-vorantreibt/","/news-und-events/neuigkeiten/gesundheitswesen/wie-getinges-htp-model-die-transformation-im-gesundheitswesen-vorantreibt/")</f>
        <v>/news-und-events/neuigkeiten/gesundheitswesen/wie-getinges-htp-model-die-transformation-im-gesundheitswesen-vorantreibt/</v>
      </c>
    </row>
    <row r="320">
      <c r="A320" s="0">
        <v>319</v>
      </c>
      <c r="B320" t="str" s="3">
        <f>HYPERLINK("https://www.getinge.com/int/insights/updates/healthcare/partnering-for-results-how-getinges-htp-model-drives-healthcare-transformation/","/insights/updates/healthcare/partnering-for-results-how-getinges-htp-model-drives-healthcare-transformation/")</f>
        <v>/insights/updates/healthcare/partnering-for-results-how-getinges-htp-model-drives-healthcare-transformation/</v>
      </c>
      <c r="C320" t="inlineStr" s="2">
        <is>
          <t xml:space="preserve">Agree on areas of improvement We prioritize key focus areas and define goals based on data and input from clinical and administrative stakeholders.</t>
        </is>
      </c>
      <c r="D320" t="inlineStr" s="2">
        <is>
          <t xml:space="preserve">Verbesserungsfelder festlegen Wir priorisieren die wichtigsten Handlungsfelder und definieren Ziele auf Basis von Daten und Feedback aus klinischen und administrativen Bereichen.</t>
        </is>
      </c>
      <c r="E320" t="inlineStr" s="0">
        <is>
          <t xml:space="preserve">Medium</t>
        </is>
      </c>
      <c r="F320" s="4"/>
      <c r="G320" t="inlineStr" s="2">
        <is>
          <t xml:space="preserve">Bedarfe und Prioritäten ermitteln Gemeinsam mit der Krankenhausleitung führen wir eine Analyse durch, um klinische und operative Herausforderungen zu identifizieren – stets im Einklang mit der institutionellen Strategie.</t>
        </is>
      </c>
      <c r="H320" t="inlineStr" s="2">
        <is>
          <t xml:space="preserve">Vom Konzept bis zur Umsetzung – und darüber hinaus – stellt das HTP-Modell sicher, dass Transformation gemeinsam, strukturiert und datenbasiert erfolgt.</t>
        </is>
      </c>
      <c r="I320" t="inlineStr" s="2">
        <is>
          <t xml:space="preserve">Im Mittelpunkt jeder Hospital Transformational Partnership (HTP) steht ein klares, vierstufiges Framework, das auf die strategischen Ziele des Krankenhauses ausgerichtet ist und messbare Ergebnisse liefert:</t>
        </is>
      </c>
      <c r="J320" s="4"/>
      <c r="K320" s="2"/>
      <c r="L320" t="str" s="3">
        <f>HYPERLINK("https://www.getinge.com/de/news-und-events/neuigkeiten/gesundheitswesen/wie-getinges-htp-model-die-transformation-im-gesundheitswesen-vorantreibt/","/news-und-events/neuigkeiten/gesundheitswesen/wie-getinges-htp-model-die-transformation-im-gesundheitswesen-vorantreibt/")</f>
        <v>/news-und-events/neuigkeiten/gesundheitswesen/wie-getinges-htp-model-die-transformation-im-gesundheitswesen-vorantreibt/</v>
      </c>
    </row>
    <row r="321">
      <c r="A321" s="0">
        <v>320</v>
      </c>
      <c r="B321" t="str" s="3">
        <f>HYPERLINK("https://www.getinge.com/int/insights/updates/healthcare/partnering-for-results-how-getinges-htp-model-drives-healthcare-transformation/","/insights/updates/healthcare/partnering-for-results-how-getinges-htp-model-drives-healthcare-transformation/")</f>
        <v>/insights/updates/healthcare/partnering-for-results-how-getinges-htp-model-drives-healthcare-transformation/</v>
      </c>
      <c r="C321" t="inlineStr" s="2">
        <is>
          <t xml:space="preserve">Solutions &amp; outcomes Based on these insights, we implement targeted interventions – including digital solutions, process redesigns, or change management – always with a focus on outcomes.</t>
        </is>
      </c>
      <c r="D321" t="inlineStr" s="2">
        <is>
          <t xml:space="preserve">Lösungen &amp; Ergebnisse Auf Grundlage dieser Erkenntnisse setzen wir gezielte Maßnahmen um – einschließlich digitaler Lösungen, Prozessneugestaltungen oder Change-Management-Initiativen – mit klarem Fokus auf die angestrebten Ergebnisse.</t>
        </is>
      </c>
      <c r="E321" t="inlineStr" s="0">
        <is>
          <t xml:space="preserve">Medium</t>
        </is>
      </c>
      <c r="F321" s="4"/>
      <c r="G321" t="inlineStr" s="2">
        <is>
          <t xml:space="preserve">Bedarfe und Prioritäten ermitteln Gemeinsam mit der Krankenhausleitung führen wir eine Analyse durch, um klinische und operative Herausforderungen zu identifizieren – stets im Einklang mit der institutionellen Strategie.</t>
        </is>
      </c>
      <c r="H321" t="inlineStr" s="2">
        <is>
          <t xml:space="preserve">Im Mittelpunkt jeder Hospital Transformational Partnership (HTP) steht ein klares, vierstufiges Framework, das auf die strategischen Ziele des Krankenhauses ausgerichtet ist und messbare Ergebnisse liefert:</t>
        </is>
      </c>
      <c r="I321" t="inlineStr" s="2">
        <is>
          <t xml:space="preserve">Langfristige Partnerschaft &amp; Investition Auch nach der Umsetzung bleiben wir ein engagierter Partner, der langfristige Wirkung durch kontinuierliche Zusammenarbeit, Leistungsüberwachung und Skalierung der Lösungen unterstützt.</t>
        </is>
      </c>
      <c r="J321" s="4"/>
      <c r="K321" s="2"/>
      <c r="L321" t="str" s="3">
        <f>HYPERLINK("https://www.getinge.com/de/news-und-events/neuigkeiten/gesundheitswesen/wie-getinges-htp-model-die-transformation-im-gesundheitswesen-vorantreibt/","/news-und-events/neuigkeiten/gesundheitswesen/wie-getinges-htp-model-die-transformation-im-gesundheitswesen-vorantreibt/")</f>
        <v>/news-und-events/neuigkeiten/gesundheitswesen/wie-getinges-htp-model-die-transformation-im-gesundheitswesen-vorantreibt/</v>
      </c>
    </row>
    <row r="322">
      <c r="A322" s="0">
        <v>321</v>
      </c>
      <c r="B322" t="str" s="3">
        <f>HYPERLINK("https://www.getinge.com/int/insights/updates/healthcare/partnering-for-results-how-getinges-htp-model-drives-healthcare-transformation/","/insights/updates/healthcare/partnering-for-results-how-getinges-htp-model-drives-healthcare-transformation/")</f>
        <v>/insights/updates/healthcare/partnering-for-results-how-getinges-htp-model-drives-healthcare-transformation/</v>
      </c>
      <c r="C322" t="inlineStr" s="2">
        <is>
          <t xml:space="preserve">Ongoing partnership &amp; investment We remain a committed partner beyond implementation, supporting long-term impact through continuous collaboration, performance tracking and solution scaling.</t>
        </is>
      </c>
      <c r="D322" t="inlineStr" s="2">
        <is>
          <t xml:space="preserve">Langfristige Partnerschaft &amp; Investition Auch nach der Umsetzung bleiben wir ein engagierter Partner, der langfristige Wirkung durch kontinuierliche Zusammenarbeit, Leistungsüberwachung und Skalierung der Lösungen unterstützt.</t>
        </is>
      </c>
      <c r="E322" t="inlineStr" s="0">
        <is>
          <t xml:space="preserve">Medium</t>
        </is>
      </c>
      <c r="F322" s="4"/>
      <c r="G322" t="inlineStr" s="2">
        <is>
          <t xml:space="preserve">Im Mittelpunkt jeder Hospital Transformational Partnership (HTP) steht ein klares, vierstufiges Framework, das auf die strategischen Ziele des Krankenhauses ausgerichtet ist und messbare Ergebnisse liefert:</t>
        </is>
      </c>
      <c r="H322" t="inlineStr" s="2">
        <is>
          <t xml:space="preserve">Bedarfe und Prioritäten ermitteln Gemeinsam mit der Krankenhausleitung führen wir eine Analyse durch, um klinische und operative Herausforderungen zu identifizieren – stets im Einklang mit der institutionellen Strategie.</t>
        </is>
      </c>
      <c r="I322" t="inlineStr" s="2">
        <is>
          <t xml:space="preserve">Lösungen &amp; Ergebnisse Auf Grundlage dieser Erkenntnisse setzen wir gezielte Maßnahmen um – einschließlich digitaler Lösungen, Prozessneugestaltungen oder Change-Management-Initiativen – mit klarem Fokus auf die angestrebten Ergebnisse.</t>
        </is>
      </c>
      <c r="J322" s="4"/>
      <c r="K322" s="2"/>
      <c r="L322" t="str" s="3">
        <f>HYPERLINK("https://www.getinge.com/de/news-und-events/neuigkeiten/gesundheitswesen/wie-getinges-htp-model-die-transformation-im-gesundheitswesen-vorantreibt/","/news-und-events/neuigkeiten/gesundheitswesen/wie-getinges-htp-model-die-transformation-im-gesundheitswesen-vorantreibt/")</f>
        <v>/news-und-events/neuigkeiten/gesundheitswesen/wie-getinges-htp-model-die-transformation-im-gesundheitswesen-vorantreibt/</v>
      </c>
    </row>
    <row r="323">
      <c r="A323" s="0">
        <v>322</v>
      </c>
      <c r="B323" t="str" s="3">
        <f>HYPERLINK("https://www.getinge.com/int/insights/updates/healthcare/partnering-for-results-how-getinges-htp-model-drives-healthcare-transformation/","/insights/updates/healthcare/partnering-for-results-how-getinges-htp-model-drives-healthcare-transformation/")</f>
        <v>/insights/updates/healthcare/partnering-for-results-how-getinges-htp-model-drives-healthcare-transformation/</v>
      </c>
      <c r="C323" t="inlineStr" s="2">
        <is>
          <t xml:space="preserve">From planning to execution and beyond, the HTP model ensures that transformation is collaborative, structured, and data-driven.</t>
        </is>
      </c>
      <c r="D323" t="inlineStr" s="2">
        <is>
          <t xml:space="preserve">Vom Konzept bis zur Umsetzung – und darüber hinaus – stellt das HTP-Modell sicher, dass Transformation gemeinsam, strukturiert und datenbasiert erfolgt.</t>
        </is>
      </c>
      <c r="E323" t="inlineStr" s="0">
        <is>
          <t xml:space="preserve">Medium</t>
        </is>
      </c>
      <c r="F323" s="4"/>
      <c r="G323" t="inlineStr" s="2">
        <is>
          <t xml:space="preserve">Verbesserungsfelder festlegen Wir priorisieren die wichtigsten Handlungsfelder und definieren Ziele auf Basis von Daten und Feedback aus klinischen und administrativen Bereichen.</t>
        </is>
      </c>
      <c r="H323" t="inlineStr" s="2">
        <is>
          <t xml:space="preserve">Im Mittelpunkt jeder Hospital Transformational Partnership (HTP) steht ein klares, vierstufiges Framework, das auf die strategischen Ziele des Krankenhauses ausgerichtet ist und messbare Ergebnisse liefert:</t>
        </is>
      </c>
      <c r="I323" t="inlineStr" s="2">
        <is>
          <t xml:space="preserve">Bedarfe und Prioritäten ermitteln Gemeinsam mit der Krankenhausleitung führen wir eine Analyse durch, um klinische und operative Herausforderungen zu identifizieren – stets im Einklang mit der institutionellen Strategie.</t>
        </is>
      </c>
      <c r="J323" s="4"/>
      <c r="K323" s="2"/>
      <c r="L323" t="str" s="3">
        <f>HYPERLINK("https://www.getinge.com/de/news-und-events/neuigkeiten/gesundheitswesen/wie-getinges-htp-model-die-transformation-im-gesundheitswesen-vorantreibt/","/news-und-events/neuigkeiten/gesundheitswesen/wie-getinges-htp-model-die-transformation-im-gesundheitswesen-vorantreibt/")</f>
        <v>/news-und-events/neuigkeiten/gesundheitswesen/wie-getinges-htp-model-die-transformation-im-gesundheitswesen-vorantreibt/</v>
      </c>
    </row>
    <row r="324">
      <c r="A324" s="0">
        <v>323</v>
      </c>
      <c r="B324" t="str" s="3">
        <f>HYPERLINK("https://www.getinge.com/int/insights/updates/healthcare/partnering-for-results-how-getinges-htp-model-drives-healthcare-transformation/","/insights/updates/healthcare/partnering-for-results-how-getinges-htp-model-drives-healthcare-transformation/")</f>
        <v>/insights/updates/healthcare/partnering-for-results-how-getinges-htp-model-drives-healthcare-transformation/</v>
      </c>
      <c r="C324" t="inlineStr" s="2">
        <is>
          <t xml:space="preserve">Case in point: A smarter approach to patient flow in Västerbotten, Sweden</t>
        </is>
      </c>
      <c r="D324" t="inlineStr" s="2">
        <is>
          <t xml:space="preserve">Praxisbeispiel: Ein intelligenterer Ansatz für Patientenflüsse in Västerbotten, Schweden</t>
        </is>
      </c>
      <c r="E324" t="inlineStr" s="0">
        <is>
          <t xml:space="preserve">Medium</t>
        </is>
      </c>
      <c r="F324" s="4"/>
      <c r="G324" t="inlineStr" s="2">
        <is>
          <t xml:space="preserve">Das Krankenhaus konnte mehr Patienten mit den gleichen Ressourcen versorgen.</t>
        </is>
      </c>
      <c r="H324" t="inlineStr" s="2">
        <is>
          <t xml:space="preserve">Die durchschnittliche Verweildauer der Patienten konnte reduziert werden.</t>
        </is>
      </c>
      <c r="I324" t="inlineStr" s="2">
        <is>
          <t xml:space="preserve">Die Zahl der Aufnahmen stieg – ohne proportionalen Anstieg der Personalkosten.</t>
        </is>
      </c>
      <c r="J324" s="4"/>
      <c r="K324" s="2"/>
      <c r="L324" t="str" s="3">
        <f>HYPERLINK("https://www.getinge.com/de/news-und-events/neuigkeiten/gesundheitswesen/wie-getinges-htp-model-die-transformation-im-gesundheitswesen-vorantreibt/","/news-und-events/neuigkeiten/gesundheitswesen/wie-getinges-htp-model-die-transformation-im-gesundheitswesen-vorantreibt/")</f>
        <v>/news-und-events/neuigkeiten/gesundheitswesen/wie-getinges-htp-model-die-transformation-im-gesundheitswesen-vorantreibt/</v>
      </c>
    </row>
    <row r="325">
      <c r="A325" s="0">
        <v>324</v>
      </c>
      <c r="B325" t="str" s="3">
        <f>HYPERLINK("https://www.getinge.com/int/insights/updates/healthcare/partnering-for-results-how-getinges-htp-model-drives-healthcare-transformation/","/insights/updates/healthcare/partnering-for-results-how-getinges-htp-model-drives-healthcare-transformation/")</f>
        <v>/insights/updates/healthcare/partnering-for-results-how-getinges-htp-model-drives-healthcare-transformation/</v>
      </c>
      <c r="C325" t="inlineStr" s="2">
        <is>
          <t xml:space="preserve">A strong example of the Hospital Transformational Partnership (HTP) approach in action is the collaboration with Norrland University Hospital in Region Västerbotten, Sweden. As the region’s largest provider of public healthcare services, the hospital was facing growing challenges related to patient throughput, resource allocation, and information flow in its Medical Emergency Ward (MAVA).</t>
        </is>
      </c>
      <c r="D325" t="inlineStr" s="2">
        <is>
          <t xml:space="preserve">Ein eindrucksvolles Beispiel für die Umsetzung des Hospital Transformational Partnership (HTP)-Ansatzes ist die Zusammenarbeit mit dem Universitätskrankenhaus Norrland in der Region Västerbotten, Schweden. Als größter Anbieter öffentlicher Gesundheitsleistungen der Region stand das Krankenhaus vor wachsenden Herausforderungen in Bezug auf Patientendurchlauf, Ressourcenzuteilung und Informationsfluss in der medizinischen Notaufnahme (MAVA).</t>
        </is>
      </c>
      <c r="E325" t="inlineStr" s="0">
        <is>
          <t xml:space="preserve">Medium</t>
        </is>
      </c>
      <c r="F325" s="4"/>
      <c r="G325" t="inlineStr" s="2">
        <is>
          <t xml:space="preserve">Dieses HTP-Pilotprojekt verbesserte nicht nur die Patientenlogistik und operative Effizienz der MAVA, sondern bildete auch die Grundlage für eine umfassendere digitale Transformationsstrategie in der gesamten Region Västerbotten. Es zeigt, wie das HTP-Modell greifbare Ergebnisse erzielen kann – schnell, gemeinschaftlich und mit langfristiger Perspektive.</t>
        </is>
      </c>
      <c r="H325" t="inlineStr" s="2">
        <is>
          <t xml:space="preserve">Das Ziel der Partnerschaft war klar: die Qualität und Effizienz der Versorgung zu verbessern – ohne Erhöhung der Personalzahlen. Zur Erreichung dieses Ziels wurde ein gemeinsamer Transformationsprozess gestartet, basierend auf den vier HTP-Prinzipien: Bedarfe und Prioritäten festlegen, Verbesserungsfelder definieren, gezielte Lösungen implementieren und in nachhaltige Veränderungen investieren.</t>
        </is>
      </c>
      <c r="I325" t="inlineStr" s="2">
        <is>
          <t xml:space="preserve">HTPs beruhen auf Vertrauen, Transparenz und Leistung. Anstelle traditioneller transaktionaler Modelle basieren diese Partnerschaften auf wertorientierten Vereinbarungen, die Getinges Engagement für Geräteleistung, Prozessoptimierung und messbare Ergebnisse einschließen – stets im Einklang mit der Strategie und den KPIs des jeweiligen Krankenhauses.</t>
        </is>
      </c>
      <c r="J325" s="4"/>
      <c r="K325" s="2"/>
      <c r="L325" t="str" s="3">
        <f>HYPERLINK("https://www.getinge.com/de/news-und-events/neuigkeiten/gesundheitswesen/wie-getinges-htp-model-die-transformation-im-gesundheitswesen-vorantreibt/","/news-und-events/neuigkeiten/gesundheitswesen/wie-getinges-htp-model-die-transformation-im-gesundheitswesen-vorantreibt/")</f>
        <v>/news-und-events/neuigkeiten/gesundheitswesen/wie-getinges-htp-model-die-transformation-im-gesundheitswesen-vorantreibt/</v>
      </c>
    </row>
    <row r="326">
      <c r="A326" s="0">
        <v>325</v>
      </c>
      <c r="B326" t="str" s="3">
        <f>HYPERLINK("https://www.getinge.com/int/insights/updates/healthcare/partnering-for-results-how-getinges-htp-model-drives-healthcare-transformation/","/insights/updates/healthcare/partnering-for-results-how-getinges-htp-model-drives-healthcare-transformation/")</f>
        <v>/insights/updates/healthcare/partnering-for-results-how-getinges-htp-model-drives-healthcare-transformation/</v>
      </c>
      <c r="C326" t="inlineStr" s="2">
        <is>
          <t xml:space="preserve">The aim of the partnership was clear: to improve the quality and efficiency of healthcare delivery — without increasing staffing levels. To achieve this, a joint transformation process was initiated, based on the four HTP principles: establishing needs and priorities, defining areas for improvement, implementing targeted solutions, and investing in sustainable change.</t>
        </is>
      </c>
      <c r="D326" t="inlineStr" s="2">
        <is>
          <t xml:space="preserve">Das Ziel der Partnerschaft war klar: die Qualität und Effizienz der Versorgung zu verbessern – ohne Erhöhung der Personalzahlen. Zur Erreichung dieses Ziels wurde ein gemeinsamer Transformationsprozess gestartet, basierend auf den vier HTP-Prinzipien: Bedarfe und Prioritäten festlegen, Verbesserungsfelder definieren, gezielte Lösungen implementieren und in nachhaltige Veränderungen investieren.</t>
        </is>
      </c>
      <c r="E326" t="inlineStr" s="0">
        <is>
          <t xml:space="preserve">Medium</t>
        </is>
      </c>
      <c r="F326" s="4"/>
      <c r="G326" t="inlineStr" s="2">
        <is>
          <t xml:space="preserve">Ein eindrucksvolles Beispiel für die Umsetzung des Hospital Transformational Partnership (HTP)-Ansatzes ist die Zusammenarbeit mit dem Universitätskrankenhaus Norrland in der Region Västerbotten, Schweden. Als größter Anbieter öffentlicher Gesundheitsleistungen der Region stand das Krankenhaus vor wachsenden Herausforderungen in Bezug auf Patientendurchlauf, Ressourcenzuteilung und Informationsfluss in der medizinischen Notaufnahme (MAVA).</t>
        </is>
      </c>
      <c r="H326" t="inlineStr" s="2">
        <is>
          <t xml:space="preserve">HTPs beruhen auf Vertrauen, Transparenz und Leistung. Anstelle traditioneller transaktionaler Modelle basieren diese Partnerschaften auf wertorientierten Vereinbarungen, die Getinges Engagement für Geräteleistung, Prozessoptimierung und messbare Ergebnisse einschließen – stets im Einklang mit der Strategie und den KPIs des jeweiligen Krankenhauses.</t>
        </is>
      </c>
      <c r="I326" t="inlineStr" s="2">
        <is>
          <t xml:space="preserve">Dieses HTP-Pilotprojekt verbesserte nicht nur die Patientenlogistik und operative Effizienz der MAVA, sondern bildete auch die Grundlage für eine umfassendere digitale Transformationsstrategie in der gesamten Region Västerbotten. Es zeigt, wie das HTP-Modell greifbare Ergebnisse erzielen kann – schnell, gemeinschaftlich und mit langfristiger Perspektive.</t>
        </is>
      </c>
      <c r="J326" s="4"/>
      <c r="K326" s="2"/>
      <c r="L326" t="str" s="3">
        <f>HYPERLINK("https://www.getinge.com/de/news-und-events/neuigkeiten/gesundheitswesen/wie-getinges-htp-model-die-transformation-im-gesundheitswesen-vorantreibt/","/news-und-events/neuigkeiten/gesundheitswesen/wie-getinges-htp-model-die-transformation-im-gesundheitswesen-vorantreibt/")</f>
        <v>/news-und-events/neuigkeiten/gesundheitswesen/wie-getinges-htp-model-die-transformation-im-gesundheitswesen-vorantreibt/</v>
      </c>
    </row>
    <row r="327">
      <c r="A327" s="0">
        <v>326</v>
      </c>
      <c r="B327" t="str" s="3">
        <f>HYPERLINK("https://www.getinge.com/int/insights/updates/healthcare/partnering-for-results-how-getinges-htp-model-drives-healthcare-transformation/","/insights/updates/healthcare/partnering-for-results-how-getinges-htp-model-drives-healthcare-transformation/")</f>
        <v>/insights/updates/healthcare/partnering-for-results-how-getinges-htp-model-drives-healthcare-transformation/</v>
      </c>
      <c r="C327" t="inlineStr" s="2">
        <is>
          <t xml:space="preserve">A key element of the project was the implementation of INSIGHT, Getinge’s digital patient flow management solution. The system gave staff real-time access to key operational data — including the number of admitted patients, level of care required, scheduled activities, and expected discharge times. By introducing mobile devices and digital access to information, the hospital enabled staff to manage workflows more proactively and make faster, better-informed decisions throughout the day.</t>
        </is>
      </c>
      <c r="D327" t="inlineStr" s="2">
        <is>
          <t xml:space="preserve">Ein zentrales Element des Projekts war die Einführung von INSIGHT, Getinges digitaler Lösung für Patientenflussmanagement. Das System ermöglichte dem Personal den Echtzeitzugriff auf entscheidende Betriebsdaten – darunter die Anzahl der aufgenommenen Patienten, erforderliche Versorgungsstufen, geplante Aktivitäten und voraussichtliche Entlassungszeiten. Durch die Einführung mobiler Endgeräte und den digitalen Zugriff auf Informationen konnten Mitarbeitende ihre Arbeitsabläufe proaktiver steuern und im Tagesverlauf schneller und fundierter Entscheidungen treffen.</t>
        </is>
      </c>
      <c r="E327" t="inlineStr" s="0">
        <is>
          <t xml:space="preserve">Medium</t>
        </is>
      </c>
      <c r="F327" s="4"/>
      <c r="G327" t="inlineStr" s="2">
        <is>
          <t xml:space="preserve">Getinge bietet mehr als hochwertige Medizinprodukte und IT-Lösungen – wir legen den Fokus auf den Aufbau langfristiger, wertorientierter Partnerschaften mit Gesundheitseinrichtungen. Durch Hospital Transformational Partnerships (HTPs) arbeiten wir eng mit Krankenhaus-Teams zusammen, um Ergebnisse zu verbessern, Effizienz zu steigern und sowohl Patienten- als auch Mitarbeitererfahrungen zu optimieren. Diese Partnerschaften gehen weit über die reine Gerätebereitstellung hinaus. Sie basieren auf Beratung, Leistungszusagen und messbaren Resultaten, die auf die strategischen Ziele jedes Krankenhauses abgestimmt sind.</t>
        </is>
      </c>
      <c r="H327" t="inlineStr" s="2">
        <is>
          <t xml:space="preserve">Ein eindrucksvolles Beispiel für die Umsetzung des Hospital Transformational Partnership (HTP)-Ansatzes ist die Zusammenarbeit mit dem Universitätskrankenhaus Norrland in der Region Västerbotten, Schweden. Als größter Anbieter öffentlicher Gesundheitsleistungen der Region stand das Krankenhaus vor wachsenden Herausforderungen in Bezug auf Patientendurchlauf, Ressourcenzuteilung und Informationsfluss in der medizinischen Notaufnahme (MAVA).</t>
        </is>
      </c>
      <c r="I327" t="inlineStr" s="2">
        <is>
          <t xml:space="preserve">Das Ziel der Partnerschaft war klar: die Qualität und Effizienz der Versorgung zu verbessern – ohne Erhöhung der Personalzahlen. Zur Erreichung dieses Ziels wurde ein gemeinsamer Transformationsprozess gestartet, basierend auf den vier HTP-Prinzipien: Bedarfe und Prioritäten festlegen, Verbesserungsfelder definieren, gezielte Lösungen implementieren und in nachhaltige Veränderungen investieren.</t>
        </is>
      </c>
      <c r="J327" s="4"/>
      <c r="K327" s="2"/>
      <c r="L327" t="str" s="3">
        <f>HYPERLINK("https://www.getinge.com/de/news-und-events/neuigkeiten/gesundheitswesen/wie-getinges-htp-model-die-transformation-im-gesundheitswesen-vorantreibt/","/news-und-events/neuigkeiten/gesundheitswesen/wie-getinges-htp-model-die-transformation-im-gesundheitswesen-vorantreibt/")</f>
        <v>/news-und-events/neuigkeiten/gesundheitswesen/wie-getinges-htp-model-die-transformation-im-gesundheitswesen-vorantreibt/</v>
      </c>
    </row>
    <row r="328">
      <c r="A328" s="0">
        <v>327</v>
      </c>
      <c r="B328" t="str" s="3">
        <f>HYPERLINK("https://www.getinge.com/int/insights/updates/healthcare/partnering-for-results-how-getinges-htp-model-drives-healthcare-transformation/","/insights/updates/healthcare/partnering-for-results-how-getinges-htp-model-drives-healthcare-transformation/")</f>
        <v>/insights/updates/healthcare/partnering-for-results-how-getinges-htp-model-drives-healthcare-transformation/</v>
      </c>
      <c r="C328" t="inlineStr" s="2">
        <is>
          <t xml:space="preserve">The transformation also included redesigning routines, strengthening internal communication, and setting up new digital documentation processes. Change management and staff training were integral to the success of the initiative, ensuring high adoption and long-term impact.</t>
        </is>
      </c>
      <c r="D328" t="inlineStr" s="2">
        <is>
          <t xml:space="preserve">Die Transformation umfasste außerdem die Neugestaltung von Abläufen, die Stärkung der internen Kommunikation sowie die Einführung neuer digitaler Dokumentationsprozesse. Change-Management-Maßnahmen und Schulungen waren entscheidend für den Erfolg der Initiative, um eine hohe Akzeptanz und nachhaltige Wirkung sicherzustellen.</t>
        </is>
      </c>
      <c r="E328" t="inlineStr" s="0">
        <is>
          <t xml:space="preserve">Medium</t>
        </is>
      </c>
      <c r="F328" s="4"/>
      <c r="G328" t="inlineStr" s="2">
        <is>
          <t xml:space="preserve">Lösungen &amp; Ergebnisse Auf Grundlage dieser Erkenntnisse setzen wir gezielte Maßnahmen um – einschließlich digitaler Lösungen, Prozessneugestaltungen oder Change-Management-Initiativen – mit klarem Fokus auf die angestrebten Ergebnisse.</t>
        </is>
      </c>
      <c r="H328" t="inlineStr" s="2">
        <is>
          <t xml:space="preserve">HTPs beruhen auf Vertrauen, Transparenz und Leistung. Anstelle traditioneller transaktionaler Modelle basieren diese Partnerschaften auf wertorientierten Vereinbarungen, die Getinges Engagement für Geräteleistung, Prozessoptimierung und messbare Ergebnisse einschließen – stets im Einklang mit der Strategie und den KPIs des jeweiligen Krankenhauses.</t>
        </is>
      </c>
      <c r="I328" t="inlineStr" s="2">
        <is>
          <t xml:space="preserve">Dieses HTP-Pilotprojekt verbesserte nicht nur die Patientenlogistik und operative Effizienz der MAVA, sondern bildete auch die Grundlage für eine umfassendere digitale Transformationsstrategie in der gesamten Region Västerbotten. Es zeigt, wie das HTP-Modell greifbare Ergebnisse erzielen kann – schnell, gemeinschaftlich und mit langfristiger Perspektive.</t>
        </is>
      </c>
      <c r="J328" s="4"/>
      <c r="K328" s="2"/>
      <c r="L328" t="str" s="3">
        <f>HYPERLINK("https://www.getinge.com/de/news-und-events/neuigkeiten/gesundheitswesen/wie-getinges-htp-model-die-transformation-im-gesundheitswesen-vorantreibt/","/news-und-events/neuigkeiten/gesundheitswesen/wie-getinges-htp-model-die-transformation-im-gesundheitswesen-vorantreibt/")</f>
        <v>/news-und-events/neuigkeiten/gesundheitswesen/wie-getinges-htp-model-die-transformation-im-gesundheitswesen-vorantreibt/</v>
      </c>
    </row>
    <row r="329">
      <c r="A329" s="0">
        <v>328</v>
      </c>
      <c r="B329" t="str" s="3">
        <f>HYPERLINK("https://www.getinge.com/int/insights/updates/healthcare/partnering-for-results-how-getinges-htp-model-drives-healthcare-transformation/","/insights/updates/healthcare/partnering-for-results-how-getinges-htp-model-drives-healthcare-transformation/")</f>
        <v>/insights/updates/healthcare/partnering-for-results-how-getinges-htp-model-drives-healthcare-transformation/</v>
      </c>
      <c r="C329" t="inlineStr" s="2">
        <is>
          <t xml:space="preserve">The results speak for themselves:</t>
        </is>
      </c>
      <c r="D329" s="2"/>
      <c r="F329" s="4"/>
      <c r="G329" t="inlineStr" s="2">
        <is>
          <t xml:space="preserve">Die Ergebnisse sprechen für sich:</t>
        </is>
      </c>
      <c r="H329" t="inlineStr" s="2">
        <is>
          <t xml:space="preserve">Read the full case report (PDF)</t>
        </is>
      </c>
      <c r="I329" t="inlineStr" s="2">
        <is>
          <t xml:space="preserve">Die durchschnittliche Verweildauer der Patienten konnte reduziert werden.</t>
        </is>
      </c>
      <c r="J329" s="4"/>
      <c r="K329" s="2"/>
      <c r="L329" t="str" s="3">
        <f>HYPERLINK("https://www.getinge.com/de/news-und-events/neuigkeiten/gesundheitswesen/wie-getinges-htp-model-die-transformation-im-gesundheitswesen-vorantreibt/","/news-und-events/neuigkeiten/gesundheitswesen/wie-getinges-htp-model-die-transformation-im-gesundheitswesen-vorantreibt/")</f>
        <v>/news-und-events/neuigkeiten/gesundheitswesen/wie-getinges-htp-model-die-transformation-im-gesundheitswesen-vorantreibt/</v>
      </c>
    </row>
    <row r="330">
      <c r="A330" s="0">
        <v>329</v>
      </c>
      <c r="B330" t="str" s="3">
        <f>HYPERLINK("https://www.getinge.com/int/insights/updates/healthcare/partnering-for-results-how-getinges-htp-model-drives-healthcare-transformation/","/insights/updates/healthcare/partnering-for-results-how-getinges-htp-model-drives-healthcare-transformation/")</f>
        <v>/insights/updates/healthcare/partnering-for-results-how-getinges-htp-model-drives-healthcare-transformation/</v>
      </c>
      <c r="C330" t="inlineStr" s="2">
        <is>
          <t xml:space="preserve">The average patient length of stay was reduced</t>
        </is>
      </c>
      <c r="D330" t="inlineStr" s="2">
        <is>
          <t xml:space="preserve">Die durchschnittliche Verweildauer der Patienten konnte reduziert werden.</t>
        </is>
      </c>
      <c r="E330" t="inlineStr" s="0">
        <is>
          <t xml:space="preserve">Low</t>
        </is>
      </c>
      <c r="F330" s="4"/>
      <c r="G330" t="inlineStr" s="2">
        <is>
          <t xml:space="preserve">Das Krankenhaus konnte mehr Patienten mit den gleichen Ressourcen versorgen.</t>
        </is>
      </c>
      <c r="H330" t="inlineStr" s="2">
        <is>
          <t xml:space="preserve">Praxisbeispiel: Ein intelligenterer Ansatz für Patientenflüsse in Västerbotten, Schweden</t>
        </is>
      </c>
      <c r="I330" t="inlineStr" s="2">
        <is>
          <t xml:space="preserve">Die Ergebnisse sprechen für sich:</t>
        </is>
      </c>
      <c r="J330" s="4"/>
      <c r="K330" s="2"/>
      <c r="L330" t="str" s="3">
        <f>HYPERLINK("https://www.getinge.com/de/news-und-events/neuigkeiten/gesundheitswesen/wie-getinges-htp-model-die-transformation-im-gesundheitswesen-vorantreibt/","/news-und-events/neuigkeiten/gesundheitswesen/wie-getinges-htp-model-die-transformation-im-gesundheitswesen-vorantreibt/")</f>
        <v>/news-und-events/neuigkeiten/gesundheitswesen/wie-getinges-htp-model-die-transformation-im-gesundheitswesen-vorantreibt/</v>
      </c>
    </row>
    <row r="331">
      <c r="A331" s="0">
        <v>330</v>
      </c>
      <c r="B331" t="str" s="3">
        <f>HYPERLINK("https://www.getinge.com/int/insights/updates/healthcare/partnering-for-results-how-getinges-htp-model-drives-healthcare-transformation/","/insights/updates/healthcare/partnering-for-results-how-getinges-htp-model-drives-healthcare-transformation/")</f>
        <v>/insights/updates/healthcare/partnering-for-results-how-getinges-htp-model-drives-healthcare-transformation/</v>
      </c>
      <c r="C331" t="inlineStr" s="2">
        <is>
          <t xml:space="preserve">The number of admissions increased — without a proportional rise in personnel costs</t>
        </is>
      </c>
      <c r="D331" t="inlineStr" s="2">
        <is>
          <t xml:space="preserve">Die Zahl der Aufnahmen stieg – ohne proportionalen Anstieg der Personalkosten.</t>
        </is>
      </c>
      <c r="E331" t="inlineStr" s="0">
        <is>
          <t xml:space="preserve">Low</t>
        </is>
      </c>
      <c r="F331" s="4"/>
      <c r="G331" t="inlineStr" s="2">
        <is>
          <t xml:space="preserve">Praxisbeispiel: Ein intelligenterer Ansatz für Patientenflüsse in Västerbotten, Schweden</t>
        </is>
      </c>
      <c r="H331" t="inlineStr" s="2">
        <is>
          <t xml:space="preserve">Das Krankenhaus konnte mehr Patienten mit den gleichen Ressourcen versorgen.</t>
        </is>
      </c>
      <c r="I331" t="inlineStr" s="2">
        <is>
          <t xml:space="preserve">Die durchschnittliche Verweildauer der Patienten konnte reduziert werden.</t>
        </is>
      </c>
      <c r="J331" s="4"/>
      <c r="K331" s="2"/>
      <c r="L331" t="str" s="3">
        <f>HYPERLINK("https://www.getinge.com/de/news-und-events/neuigkeiten/gesundheitswesen/wie-getinges-htp-model-die-transformation-im-gesundheitswesen-vorantreibt/","/news-und-events/neuigkeiten/gesundheitswesen/wie-getinges-htp-model-die-transformation-im-gesundheitswesen-vorantreibt/")</f>
        <v>/news-und-events/neuigkeiten/gesundheitswesen/wie-getinges-htp-model-die-transformation-im-gesundheitswesen-vorantreibt/</v>
      </c>
    </row>
    <row r="332">
      <c r="A332" s="0">
        <v>331</v>
      </c>
      <c r="B332" t="str" s="3">
        <f>HYPERLINK("https://www.getinge.com/int/insights/updates/healthcare/partnering-for-results-how-getinges-htp-model-drives-healthcare-transformation/","/insights/updates/healthcare/partnering-for-results-how-getinges-htp-model-drives-healthcare-transformation/")</f>
        <v>/insights/updates/healthcare/partnering-for-results-how-getinges-htp-model-drives-healthcare-transformation/</v>
      </c>
      <c r="C332" t="inlineStr" s="2">
        <is>
          <t xml:space="preserve">The hospital was able to deliver more care with the same resources</t>
        </is>
      </c>
      <c r="D332" s="2"/>
      <c r="F332" s="4"/>
      <c r="G332" t="inlineStr" s="2">
        <is>
          <t xml:space="preserve">Das Krankenhaus konnte mehr Patienten mit den gleichen Ressourcen versorgen.</t>
        </is>
      </c>
      <c r="H332" t="inlineStr" s="2">
        <is>
          <t xml:space="preserve">Die Zahl der Aufnahmen stieg – ohne proportionalen Anstieg der Personalkosten.</t>
        </is>
      </c>
      <c r="I332" t="inlineStr" s="2">
        <is>
          <t xml:space="preserve">Die durchschnittliche Verweildauer der Patienten konnte reduziert werden.</t>
        </is>
      </c>
      <c r="J332" s="4"/>
      <c r="K332" s="2"/>
      <c r="L332" t="str" s="3">
        <f>HYPERLINK("https://www.getinge.com/de/news-und-events/neuigkeiten/gesundheitswesen/wie-getinges-htp-model-die-transformation-im-gesundheitswesen-vorantreibt/","/news-und-events/neuigkeiten/gesundheitswesen/wie-getinges-htp-model-die-transformation-im-gesundheitswesen-vorantreibt/")</f>
        <v>/news-und-events/neuigkeiten/gesundheitswesen/wie-getinges-htp-model-die-transformation-im-gesundheitswesen-vorantreibt/</v>
      </c>
    </row>
    <row r="333">
      <c r="A333" s="0">
        <v>332</v>
      </c>
      <c r="B333" t="str" s="3">
        <f>HYPERLINK("https://www.getinge.com/int/insights/updates/healthcare/partnering-for-results-how-getinges-htp-model-drives-healthcare-transformation/","/insights/updates/healthcare/partnering-for-results-how-getinges-htp-model-drives-healthcare-transformation/")</f>
        <v>/insights/updates/healthcare/partnering-for-results-how-getinges-htp-model-drives-healthcare-transformation/</v>
      </c>
      <c r="C333" t="inlineStr" s="2">
        <is>
          <t xml:space="preserve">This HTP pilot project not only improved patient logistics and operational efficiency at MAVA, but also laid the foundation for a broader digital transformation strategy across Region Västerbotten. It demonstrates how the HTP model can create tangible results — quickly, collaboratively, and with a long-term perspective.</t>
        </is>
      </c>
      <c r="D333" t="inlineStr" s="2">
        <is>
          <t xml:space="preserve">Dieses HTP-Pilotprojekt verbesserte nicht nur die Patientenlogistik und operative Effizienz der MAVA, sondern bildete auch die Grundlage für eine umfassendere digitale Transformationsstrategie in der gesamten Region Västerbotten. Es zeigt, wie das HTP-Modell greifbare Ergebnisse erzielen kann – schnell, gemeinschaftlich und mit langfristiger Perspektive.</t>
        </is>
      </c>
      <c r="E333" t="inlineStr" s="0">
        <is>
          <t xml:space="preserve">Medium</t>
        </is>
      </c>
      <c r="F333" s="4"/>
      <c r="G333" t="inlineStr" s="2">
        <is>
          <t xml:space="preserve">HTPs beruhen auf Vertrauen, Transparenz und Leistung. Anstelle traditioneller transaktionaler Modelle basieren diese Partnerschaften auf wertorientierten Vereinbarungen, die Getinges Engagement für Geräteleistung, Prozessoptimierung und messbare Ergebnisse einschließen – stets im Einklang mit der Strategie und den KPIs des jeweiligen Krankenhauses.</t>
        </is>
      </c>
      <c r="H333" t="inlineStr" s="2">
        <is>
          <t xml:space="preserve">Das Ziel der Partnerschaft war klar: die Qualität und Effizienz der Versorgung zu verbessern – ohne Erhöhung der Personalzahlen. Zur Erreichung dieses Ziels wurde ein gemeinsamer Transformationsprozess gestartet, basierend auf den vier HTP-Prinzipien: Bedarfe und Prioritäten festlegen, Verbesserungsfelder definieren, gezielte Lösungen implementieren und in nachhaltige Veränderungen investieren.</t>
        </is>
      </c>
      <c r="I333" t="inlineStr" s="2">
        <is>
          <t xml:space="preserve">Ein eindrucksvolles Beispiel für die Umsetzung des Hospital Transformational Partnership (HTP)-Ansatzes ist die Zusammenarbeit mit dem Universitätskrankenhaus Norrland in der Region Västerbotten, Schweden. Als größter Anbieter öffentlicher Gesundheitsleistungen der Region stand das Krankenhaus vor wachsenden Herausforderungen in Bezug auf Patientendurchlauf, Ressourcenzuteilung und Informationsfluss in der medizinischen Notaufnahme (MAVA).</t>
        </is>
      </c>
      <c r="J333" s="4"/>
      <c r="K333" s="2"/>
      <c r="L333" t="str" s="3">
        <f>HYPERLINK("https://www.getinge.com/de/news-und-events/neuigkeiten/gesundheitswesen/wie-getinges-htp-model-die-transformation-im-gesundheitswesen-vorantreibt/","/news-und-events/neuigkeiten/gesundheitswesen/wie-getinges-htp-model-die-transformation-im-gesundheitswesen-vorantreibt/")</f>
        <v>/news-und-events/neuigkeiten/gesundheitswesen/wie-getinges-htp-model-die-transformation-im-gesundheitswesen-vorantreibt/</v>
      </c>
    </row>
    <row r="334">
      <c r="A334" s="0">
        <v>333</v>
      </c>
      <c r="B334" t="str" s="3">
        <f>HYPERLINK("https://www.getinge.com/int/insights/updates/healthcare/partnering-for-results-how-getinges-htp-model-drives-healthcare-transformation/","/insights/updates/healthcare/partnering-for-results-how-getinges-htp-model-drives-healthcare-transformation/")</f>
        <v>/insights/updates/healthcare/partnering-for-results-how-getinges-htp-model-drives-healthcare-transformation/</v>
      </c>
      <c r="C334" t="inlineStr" s="2">
        <is>
          <t xml:space="preserve">Read the full case report (PDF)</t>
        </is>
      </c>
      <c r="D334" s="2"/>
      <c r="F334" s="4"/>
      <c r="G334" t="inlineStr" s="2">
        <is>
          <t xml:space="preserve">Die Ergebnisse sprechen für sich:</t>
        </is>
      </c>
      <c r="H334" s="2"/>
      <c r="I334" s="2"/>
      <c r="J334" s="4"/>
      <c r="K334" s="2"/>
      <c r="L334" t="str" s="3">
        <f>HYPERLINK("https://www.getinge.com/de/news-und-events/neuigkeiten/gesundheitswesen/wie-getinges-htp-model-die-transformation-im-gesundheitswesen-vorantreibt/","/news-und-events/neuigkeiten/gesundheitswesen/wie-getinges-htp-model-die-transformation-im-gesundheitswesen-vorantreibt/")</f>
        <v>/news-und-events/neuigkeiten/gesundheitswesen/wie-getinges-htp-model-die-transformation-im-gesundheitswesen-vorantreibt/</v>
      </c>
    </row>
    <row r="335">
      <c r="A335" s="0">
        <v>334</v>
      </c>
      <c r="B335" t="str" s="3">
        <f>HYPERLINK("https://www.getinge.com/int/insights/updates/healthcare/product-environmental-profiles/","/insights/updates/healthcare/product-environmental-profiles/")</f>
        <v>/insights/updates/healthcare/product-environmental-profiles/</v>
      </c>
      <c r="C335" t="inlineStr" s="2">
        <is>
          <t xml:space="preserve">By providing transparency on environmental impacts across the value chain, PEPs give hospitals the insights needed to identify opportunities for operational and cost efficiencies. Examples include:</t>
        </is>
      </c>
      <c r="D335" t="inlineStr" s="2">
        <is>
          <t xml:space="preserve">Durch die transparente Darstellung der Umweltauswirkungen entlang der gesamten Wertschöpfungskette bieten PEPs Krankenhäusern wertvolle Einblicke, um operative und wirtschaftliche Effizienzpotenziale zu identifizieren. Beispiele dafür sind:</t>
        </is>
      </c>
      <c r="E335" t="inlineStr" s="0">
        <is>
          <t xml:space="preserve">Medium</t>
        </is>
      </c>
      <c r="F335" s="4"/>
      <c r="G335" t="inlineStr" s="2">
        <is>
          <t xml:space="preserve">Jedes PEP enthält außerdem praxisnahe Empfehlungen für Anwender – etwa das Ausschalten ungenutzter Geräte, die Vermeidung von Teilladungen oder die regelmäßige Wartung zur Verlängerung der Gerätelebensdauer.</t>
        </is>
      </c>
      <c r="H335" t="inlineStr" s="2">
        <is>
          <t xml:space="preserve">Die PEPs werden mit Tools wie EIME (Environmental Impact and Management Explorer) entwickelt und an regionale Gegebenheiten (EU, Nordamerika, Asien-Pazifik) angepasst.</t>
        </is>
      </c>
      <c r="I335" t="inlineStr" s="2">
        <is>
          <t xml:space="preserve">Vermeidung „versteckter Kosten“: Fundierte Kaufentscheidungen helfen, Risiken durch unsachgemäße Entsorgung, behördliche Sanktionen oder Reputationsschäden zu vermeiden.</t>
        </is>
      </c>
      <c r="J335" s="4"/>
      <c r="K335" s="2"/>
      <c r="L335" t="str" s="3">
        <f>HYPERLINK("https://www.getinge.com/de/news-und-events/neuigkeiten/gesundheitswesen/product-environmental-profiles/","/news-und-events/neuigkeiten/gesundheitswesen/product-environmental-profiles/")</f>
        <v>/news-und-events/neuigkeiten/gesundheitswesen/product-environmental-profiles/</v>
      </c>
    </row>
    <row r="336">
      <c r="A336" s="0">
        <v>335</v>
      </c>
      <c r="B336" t="str" s="3">
        <f>HYPERLINK("https://www.getinge.com/int/insights/updates/healthcare/product-environmental-profiles/","/insights/updates/healthcare/product-environmental-profiles/")</f>
        <v>/insights/updates/healthcare/product-environmental-profiles/</v>
      </c>
      <c r="C336" t="inlineStr" s="2">
        <is>
          <t xml:space="preserve">Reduced waste management costs: Products with less material and packaging can lower disposal time and costs.</t>
        </is>
      </c>
      <c r="D336" t="inlineStr" s="2">
        <is>
          <t xml:space="preserve">Reduzierte Entsorgungskosten: Produkte mit weniger Material und Verpackung senken den Aufwand und die Kosten der Entsorgung.</t>
        </is>
      </c>
      <c r="E336" t="inlineStr" s="0">
        <is>
          <t xml:space="preserve">Medium</t>
        </is>
      </c>
      <c r="F336" s="4"/>
      <c r="G336" t="inlineStr" s="2">
        <is>
          <t xml:space="preserve">Verlängerte Produktlebensdauer: Langlebige, reparierbare oder wiederverwendbare Produkte reduzieren den Ersatzbedarf und steigern die Ressourceneffizienz.</t>
        </is>
      </c>
      <c r="H336" t="inlineStr" s="2">
        <is>
          <t xml:space="preserve">Maquet Meera und Maquet Corin Operationstische mit reduziertem Gewicht und weniger Komponenten</t>
        </is>
      </c>
      <c r="I336" t="inlineStr" s="2">
        <is>
          <t xml:space="preserve">Geringerer Energie- und Wasserverbrauch: Produkte mit Eco-Design-Merkmalen helfen Krankenhäusern, Ressourcenverbrauch und Betriebskosten zu senken.</t>
        </is>
      </c>
      <c r="J336" s="4"/>
      <c r="K336" s="2"/>
      <c r="L336" t="str" s="3">
        <f>HYPERLINK("https://www.getinge.com/de/news-und-events/neuigkeiten/gesundheitswesen/product-environmental-profiles/","/news-und-events/neuigkeiten/gesundheitswesen/product-environmental-profiles/")</f>
        <v>/news-und-events/neuigkeiten/gesundheitswesen/product-environmental-profiles/</v>
      </c>
    </row>
    <row r="337">
      <c r="A337" s="0">
        <v>336</v>
      </c>
      <c r="B337" t="str" s="3">
        <f>HYPERLINK("https://www.getinge.com/int/insights/updates/healthcare/product-environmental-profiles/","/insights/updates/healthcare/product-environmental-profiles/")</f>
        <v>/insights/updates/healthcare/product-environmental-profiles/</v>
      </c>
      <c r="C337" t="inlineStr" s="2">
        <is>
          <t xml:space="preserve">Lower energy and water consumption: Products with Eco-Design features help hospitals reduce resource consumption and lower utility costs.</t>
        </is>
      </c>
      <c r="D337" t="inlineStr" s="2">
        <is>
          <t xml:space="preserve">Geringerer Energie- und Wasserverbrauch: Produkte mit Eco-Design-Merkmalen helfen Krankenhäusern, Ressourcenverbrauch und Betriebskosten zu senken.</t>
        </is>
      </c>
      <c r="E337" t="inlineStr" s="0">
        <is>
          <t xml:space="preserve">Medium</t>
        </is>
      </c>
      <c r="F337" s="4"/>
      <c r="G337" t="inlineStr" s="2">
        <is>
          <t xml:space="preserve">Verlängerte Produktlebensdauer: Langlebige, reparierbare oder wiederverwendbare Produkte reduzieren den Ersatzbedarf und steigern die Ressourceneffizienz.</t>
        </is>
      </c>
      <c r="H337" t="inlineStr" s="2">
        <is>
          <t xml:space="preserve">Reduzierte Entsorgungskosten: Produkte mit weniger Material und Verpackung senken den Aufwand und die Kosten der Entsorgung.</t>
        </is>
      </c>
      <c r="I337" t="inlineStr" s="2">
        <is>
          <t xml:space="preserve">Vermeidung „versteckter Kosten“: Fundierte Kaufentscheidungen helfen, Risiken durch unsachgemäße Entsorgung, behördliche Sanktionen oder Reputationsschäden zu vermeiden.</t>
        </is>
      </c>
      <c r="J337" s="4"/>
      <c r="K337" s="2"/>
      <c r="L337" t="str" s="3">
        <f>HYPERLINK("https://www.getinge.com/de/news-und-events/neuigkeiten/gesundheitswesen/product-environmental-profiles/","/news-und-events/neuigkeiten/gesundheitswesen/product-environmental-profiles/")</f>
        <v>/news-und-events/neuigkeiten/gesundheitswesen/product-environmental-profiles/</v>
      </c>
    </row>
    <row r="338">
      <c r="A338" s="0">
        <v>337</v>
      </c>
      <c r="B338" t="str" s="3">
        <f>HYPERLINK("https://www.getinge.com/int/insights/updates/healthcare/product-environmental-profiles/","/insights/updates/healthcare/product-environmental-profiles/")</f>
        <v>/insights/updates/healthcare/product-environmental-profiles/</v>
      </c>
      <c r="C338" t="inlineStr" s="2">
        <is>
          <t xml:space="preserve">Extended product lifespan: Durable, repairable, or reusable products reduce the need for replacements, enhancing resource efficiency.</t>
        </is>
      </c>
      <c r="D338" t="inlineStr" s="2">
        <is>
          <t xml:space="preserve">Verlängerte Produktlebensdauer: Langlebige, reparierbare oder wiederverwendbare Produkte reduzieren den Ersatzbedarf und steigern die Ressourceneffizienz.</t>
        </is>
      </c>
      <c r="E338" t="inlineStr" s="0">
        <is>
          <t xml:space="preserve">Medium</t>
        </is>
      </c>
      <c r="F338" s="4"/>
      <c r="G338" t="inlineStr" s="2">
        <is>
          <t xml:space="preserve">Reduzierte Entsorgungskosten: Produkte mit weniger Material und Verpackung senken den Aufwand und die Kosten der Entsorgung.</t>
        </is>
      </c>
      <c r="H338" t="inlineStr" s="2">
        <is>
          <t xml:space="preserve">Geringerer Energie- und Wasserverbrauch: Produkte mit Eco-Design-Merkmalen helfen Krankenhäusern, Ressourcenverbrauch und Betriebskosten zu senken.</t>
        </is>
      </c>
      <c r="I338" t="inlineStr" s="2">
        <is>
          <t xml:space="preserve">Vermeidung „versteckter Kosten“: Fundierte Kaufentscheidungen helfen, Risiken durch unsachgemäße Entsorgung, behördliche Sanktionen oder Reputationsschäden zu vermeiden.</t>
        </is>
      </c>
      <c r="J338" s="4"/>
      <c r="K338" s="2"/>
      <c r="L338" t="str" s="3">
        <f>HYPERLINK("https://www.getinge.com/de/news-und-events/neuigkeiten/gesundheitswesen/product-environmental-profiles/","/news-und-events/neuigkeiten/gesundheitswesen/product-environmental-profiles/")</f>
        <v>/news-und-events/neuigkeiten/gesundheitswesen/product-environmental-profiles/</v>
      </c>
    </row>
    <row r="339">
      <c r="A339" s="0">
        <v>338</v>
      </c>
      <c r="B339" t="str" s="3">
        <f>HYPERLINK("https://www.getinge.com/int/insights/updates/healthcare/product-environmental-profiles/","/insights/updates/healthcare/product-environmental-profiles/")</f>
        <v>/insights/updates/healthcare/product-environmental-profiles/</v>
      </c>
      <c r="C339" t="inlineStr" s="2">
        <is>
          <t xml:space="preserve">Avoidance of "hidden costs": Informed purchasing decisions help mitigate risks tied to improper disposal, regulatory penalties, and potential reputational damage.</t>
        </is>
      </c>
      <c r="D339" t="inlineStr" s="2">
        <is>
          <t xml:space="preserve">Vermeidung „versteckter Kosten“: Fundierte Kaufentscheidungen helfen, Risiken durch unsachgemäße Entsorgung, behördliche Sanktionen oder Reputationsschäden zu vermeiden.</t>
        </is>
      </c>
      <c r="E339" t="inlineStr" s="0">
        <is>
          <t xml:space="preserve">Low</t>
        </is>
      </c>
      <c r="F339" s="4"/>
      <c r="G339" t="inlineStr" s="2">
        <is>
          <t xml:space="preserve">Die PEPs werden mit Tools wie EIME (Environmental Impact and Management Explorer) entwickelt und an regionale Gegebenheiten (EU, Nordamerika, Asien-Pazifik) angepasst.</t>
        </is>
      </c>
      <c r="H339" t="inlineStr" s="2">
        <is>
          <t xml:space="preserve">Jedes PEP enthält außerdem praxisnahe Empfehlungen für Anwender – etwa das Ausschalten ungenutzter Geräte, die Vermeidung von Teilladungen oder die regelmäßige Wartung zur Verlängerung der Gerätelebensdauer.</t>
        </is>
      </c>
      <c r="I339" t="inlineStr" s="2">
        <is>
          <t xml:space="preserve">Verlängerte Produktlebensdauer: Langlebige, reparierbare oder wiederverwendbare Produkte reduzieren den Ersatzbedarf und steigern die Ressourceneffizienz.</t>
        </is>
      </c>
      <c r="J339" s="4"/>
      <c r="K339" s="2"/>
      <c r="L339" t="str" s="3">
        <f>HYPERLINK("https://www.getinge.com/de/news-und-events/neuigkeiten/gesundheitswesen/product-environmental-profiles/","/news-und-events/neuigkeiten/gesundheitswesen/product-environmental-profiles/")</f>
        <v>/news-und-events/neuigkeiten/gesundheitswesen/product-environmental-profiles/</v>
      </c>
    </row>
    <row r="340">
      <c r="A340" s="0">
        <v>339</v>
      </c>
      <c r="B340" t="str" s="3">
        <f>HYPERLINK("https://www.getinge.com/int/insights/updates/healthcare/product-environmental-profiles/","/insights/updates/healthcare/product-environmental-profiles/")</f>
        <v>/insights/updates/healthcare/product-environmental-profiles/</v>
      </c>
      <c r="C340" t="inlineStr" s="2">
        <is>
          <t xml:space="preserve">With PEP data, hospitals can align procurement and reporting with regulations such as EU Medical Device Regulation (MDR), Corporate Sustainability Reporting Directive (CSRD) and Corporate Sustainability Due Diligence Directive (CS3D).</t>
        </is>
      </c>
      <c r="D340" t="inlineStr" s="2">
        <is>
          <t xml:space="preserve">Mithilfe von PEP-Daten können Krankenhäuser ihre Beschaffungs- und Berichtspflichten mit Vorschriften wie der EU-Medizinprodukteverordnung (MDR), der Corporate Sustainability Reporting Directive (CSRD) und der Corporate Sustainability Due Diligence Directive (CS3D) in Einklang bringen.</t>
        </is>
      </c>
      <c r="E340" t="inlineStr" s="0">
        <is>
          <t xml:space="preserve">High</t>
        </is>
      </c>
      <c r="F340" s="4"/>
      <c r="G340" t="inlineStr" s="2">
        <is>
          <t xml:space="preserve">Durch die transparente Darstellung der Umweltauswirkungen entlang der gesamten Wertschöpfungskette bieten PEPs Krankenhäusern wertvolle Einblicke, um operative und wirtschaftliche Effizienzpotenziale zu identifizieren. Beispiele dafür sind:</t>
        </is>
      </c>
      <c r="H340" t="inlineStr" s="2">
        <is>
          <t xml:space="preserve">Poladus 150 Niedertemperatur-Sterilisator , arbeitet ohne Wasser oder Druckluft und senkt den Stromverbrauch um 70 % pro Liter sterilisierter Medizinprodukte (im Vergleich zum Dampfsterilisator GSS67H-10)</t>
        </is>
      </c>
      <c r="I340" t="inlineStr" s="2">
        <is>
          <t xml:space="preserve">Jedes PEP enthält außerdem praxisnahe Empfehlungen für Anwender – etwa das Ausschalten ungenutzter Geräte, die Vermeidung von Teilladungen oder die regelmäßige Wartung zur Verlängerung der Gerätelebensdauer.</t>
        </is>
      </c>
      <c r="J340" s="4"/>
      <c r="K340" s="2"/>
      <c r="L340" t="str" s="3">
        <f>HYPERLINK("https://www.getinge.com/de/news-und-events/neuigkeiten/gesundheitswesen/product-environmental-profiles/","/news-und-events/neuigkeiten/gesundheitswesen/product-environmental-profiles/")</f>
        <v>/news-und-events/neuigkeiten/gesundheitswesen/product-environmental-profiles/</v>
      </c>
    </row>
    <row r="341">
      <c r="A341" s="0">
        <v>340</v>
      </c>
      <c r="B341" t="str" s="3">
        <f>HYPERLINK("https://www.getinge.com/int/insights/updates/healthcare/product-environmental-profiles/","/insights/updates/healthcare/product-environmental-profiles/")</f>
        <v>/insights/updates/healthcare/product-environmental-profiles/</v>
      </c>
      <c r="C341" t="inlineStr" s="2">
        <is>
          <t xml:space="preserve">By choosing PEP-backed products, hospitals send a strong market signal that encourages medical device manufacturers to invest in innovation with lower environmental impact. At the same time, they position themselves as leaders in responsible healthcare, enhancing resilience and strengthening their reputation.</t>
        </is>
      </c>
      <c r="D341" t="inlineStr" s="2">
        <is>
          <t xml:space="preserve">Durch die Entscheidung für Produkte mit PEP senden Krankenhäuser ein starkes Marktsignal, das Hersteller von Medizinprodukten dazu motiviert, in Innovationen mit geringerer Umweltbelastung zu investieren. Gleichzeitig positionieren sie sich als Vorreiter für verantwortungsvolles Gesundheitswesen, stärken ihre Widerstandsfähigkeit und verbessern ihr Ansehen.</t>
        </is>
      </c>
      <c r="E341" t="inlineStr" s="0">
        <is>
          <t xml:space="preserve">Medium</t>
        </is>
      </c>
      <c r="F341" s="4"/>
      <c r="G341" t="inlineStr" s="2">
        <is>
          <t xml:space="preserve">Mithilfe von PEP-Daten können Krankenhäuser ihre Beschaffungs- und Berichtspflichten mit Vorschriften wie der EU-Medizinprodukteverordnung (MDR), der Corporate Sustainability Reporting Directive (CSRD) und der Corporate Sustainability Due Diligence Directive (CS3D) in Einklang bringen.</t>
        </is>
      </c>
      <c r="H341" t="inlineStr" s="2">
        <is>
          <t xml:space="preserve">Bei Getinge bieten wir PEPs für zentrale Produktlinien wie Operationstische, OP-Leuchten und Sterilisatoren an. Jedes PEP basiert auf einer detaillierten Lebenszyklusanalyse (LCA) und folgt EcoDesign-Prinzipien, um den Materialeinsatz zu reduzieren, die Effizienz zu optimieren und Umweltauswirkungen zu minimieren. Diese Maßnahmen stehen im Einklang mit Getinges Engagement, bis 2050 Netto-Null-Emissionen zu erreichen.</t>
        </is>
      </c>
      <c r="I341" t="inlineStr" s="2">
        <is>
          <t xml:space="preserve">Durch die transparente Darstellung der Umweltauswirkungen entlang der gesamten Wertschöpfungskette bieten PEPs Krankenhäusern wertvolle Einblicke, um operative und wirtschaftliche Effizienzpotenziale zu identifizieren. Beispiele dafür sind:</t>
        </is>
      </c>
      <c r="J341" s="4"/>
      <c r="K341" s="2"/>
      <c r="L341" t="str" s="3">
        <f>HYPERLINK("https://www.getinge.com/de/news-und-events/neuigkeiten/gesundheitswesen/product-environmental-profiles/","/news-und-events/neuigkeiten/gesundheitswesen/product-environmental-profiles/")</f>
        <v>/news-und-events/neuigkeiten/gesundheitswesen/product-environmental-profiles/</v>
      </c>
    </row>
    <row r="342">
      <c r="A342" s="0">
        <v>341</v>
      </c>
      <c r="B342" t="str" s="3">
        <f>HYPERLINK("https://www.getinge.com/int/insights/updates/healthcare/product-environmental-profiles/","/insights/updates/healthcare/product-environmental-profiles/")</f>
        <v>/insights/updates/healthcare/product-environmental-profiles/</v>
      </c>
      <c r="C342" t="inlineStr" s="2">
        <is>
          <t xml:space="preserve">PEPs at Getinge: delivering trusted sustainability insights</t>
        </is>
      </c>
      <c r="D342" t="inlineStr" s="2">
        <is>
          <t xml:space="preserve">PEPs bei Getinge: Vertrauenswürdige Nachhaltigkeitseinblicke</t>
        </is>
      </c>
      <c r="E342" t="inlineStr" s="0">
        <is>
          <t xml:space="preserve">Medium</t>
        </is>
      </c>
      <c r="F342" s="4"/>
      <c r="G342" t="inlineStr" s="2">
        <is>
          <t xml:space="preserve">Maquet Meera und Maquet Corin Operationstische mit reduziertem Gewicht und weniger Komponenten</t>
        </is>
      </c>
      <c r="H342" t="inlineStr" s="2">
        <is>
          <t xml:space="preserve">http://www.pep-ecopassport.org/create-a-pep/</t>
        </is>
      </c>
      <c r="I342" s="2"/>
      <c r="J342" s="4"/>
      <c r="K342" s="2"/>
      <c r="L342" t="str" s="3">
        <f>HYPERLINK("https://www.getinge.com/de/news-und-events/neuigkeiten/gesundheitswesen/product-environmental-profiles/","/news-und-events/neuigkeiten/gesundheitswesen/product-environmental-profiles/")</f>
        <v>/news-und-events/neuigkeiten/gesundheitswesen/product-environmental-profiles/</v>
      </c>
    </row>
    <row r="343">
      <c r="A343" s="0">
        <v>342</v>
      </c>
      <c r="B343" t="str" s="3">
        <f>HYPERLINK("https://www.getinge.com/int/insights/updates/healthcare/product-environmental-profiles/","/insights/updates/healthcare/product-environmental-profiles/")</f>
        <v>/insights/updates/healthcare/product-environmental-profiles/</v>
      </c>
      <c r="C343" t="inlineStr" s="2">
        <is>
          <t xml:space="preserve">At Getinge, we offer PEPs across key product lines such as operating tables, surgical lights, and sterilizers. Each PEP is based on a detailed LCA and follows EcoDesign principles to reduce material use, optimize efficiency, and minimize environmental impact. These efforts align with Getinge’s commitment to achieving net-zero emissions by 2050. PEPs are developed using tools such as EIME (Environmental Impact and Management Explorer) and are tailored to regional scenarios (EU, North America, Asia-Pacific).</t>
        </is>
      </c>
      <c r="D343" t="inlineStr" s="2">
        <is>
          <t xml:space="preserve">Bei Getinge bieten wir PEPs für zentrale Produktlinien wie Operationstische, OP-Leuchten und Sterilisatoren an. Jedes PEP basiert auf einer detaillierten Lebenszyklusanalyse (LCA) und folgt EcoDesign-Prinzipien, um den Materialeinsatz zu reduzieren, die Effizienz zu optimieren und Umweltauswirkungen zu minimieren. Diese Maßnahmen stehen im Einklang mit Getinges Engagement, bis 2050 Netto-Null-Emissionen zu erreichen.</t>
        </is>
      </c>
      <c r="E343" t="inlineStr" s="0">
        <is>
          <t xml:space="preserve">Medium</t>
        </is>
      </c>
      <c r="F343" s="4"/>
      <c r="G343" s="2"/>
      <c r="H343" s="2"/>
      <c r="I343" s="2"/>
      <c r="J343" s="4"/>
      <c r="K343" s="2"/>
      <c r="L343" t="str" s="3">
        <f>HYPERLINK("https://www.getinge.com/de/news-und-events/neuigkeiten/gesundheitswesen/product-environmental-profiles/","/news-und-events/neuigkeiten/gesundheitswesen/product-environmental-profiles/")</f>
        <v>/news-und-events/neuigkeiten/gesundheitswesen/product-environmental-profiles/</v>
      </c>
    </row>
    <row r="344">
      <c r="A344" s="0">
        <v>343</v>
      </c>
      <c r="B344" t="str" s="3">
        <f>HYPERLINK("https://www.getinge.com/int/insights/updates/healthcare/product-environmental-profiles/","/insights/updates/healthcare/product-environmental-profiles/")</f>
        <v>/insights/updates/healthcare/product-environmental-profiles/</v>
      </c>
      <c r="C344" t="inlineStr" s="2">
        <is>
          <t xml:space="preserve">Maquet Meera and Maquet Corin operating tables with reduced mass and component count</t>
        </is>
      </c>
      <c r="D344" t="inlineStr" s="2">
        <is>
          <t xml:space="preserve">Maquet Meera und Maquet Corin Operationstische mit reduziertem Gewicht und weniger Komponenten</t>
        </is>
      </c>
      <c r="E344" t="inlineStr" s="0">
        <is>
          <t xml:space="preserve">High</t>
        </is>
      </c>
      <c r="F344" s="4"/>
      <c r="G344" t="inlineStr" s="2">
        <is>
          <t xml:space="preserve">Reduzierte Entsorgungskosten: Produkte mit weniger Material und Verpackung senken den Aufwand und die Kosten der Entsorgung.</t>
        </is>
      </c>
      <c r="H344" t="inlineStr" s="2">
        <is>
          <t xml:space="preserve">Moduevo Deckenversorgungseinheit, gefertigt mit 100 % lokal beschafften Komponenten in China</t>
        </is>
      </c>
      <c r="I344" t="inlineStr" s="2">
        <is>
          <t xml:space="preserve">Verlängerte Produktlebensdauer: Langlebige, reparierbare oder wiederverwendbare Produkte reduzieren den Ersatzbedarf und steigern die Ressourceneffizienz.</t>
        </is>
      </c>
      <c r="J344" s="4"/>
      <c r="K344" s="2"/>
      <c r="L344" t="str" s="3">
        <f>HYPERLINK("https://www.getinge.com/de/news-und-events/neuigkeiten/gesundheitswesen/product-environmental-profiles/","/news-und-events/neuigkeiten/gesundheitswesen/product-environmental-profiles/")</f>
        <v>/news-und-events/neuigkeiten/gesundheitswesen/product-environmental-profiles/</v>
      </c>
    </row>
    <row r="345">
      <c r="A345" s="0">
        <v>344</v>
      </c>
      <c r="B345" t="str" s="3">
        <f>HYPERLINK("https://www.getinge.com/int/insights/updates/healthcare/product-environmental-profiles/","/insights/updates/healthcare/product-environmental-profiles/")</f>
        <v>/insights/updates/healthcare/product-environmental-profiles/</v>
      </c>
      <c r="C345" t="inlineStr" s="2">
        <is>
          <t xml:space="preserve">Ezea surgical light, consuming only &lt;1W on standby and 28% less energy than its predecessor</t>
        </is>
      </c>
      <c r="D345" t="inlineStr" s="2">
        <is>
          <t xml:space="preserve">Ezea OP-Leuchte, die im Standby weniger als 1 W verbraucht und 28 % weniger Energie benötigt als das Vorgängermodell</t>
        </is>
      </c>
      <c r="E345" t="inlineStr" s="0">
        <is>
          <t xml:space="preserve">High</t>
        </is>
      </c>
      <c r="F345" s="4"/>
      <c r="G345" t="inlineStr" s="2">
        <is>
          <t xml:space="preserve">GSS67H Dampfsterilisator, spart bis zu 20–30 % Energie und 95 % Wasser im Vergleich zu herkömmlichen Modellen</t>
        </is>
      </c>
      <c r="H345" t="inlineStr" s="2">
        <is>
          <t xml:space="preserve">Maquet Meera und Maquet Corin Operationstische mit reduziertem Gewicht und weniger Komponenten</t>
        </is>
      </c>
      <c r="I345" t="inlineStr" s="2">
        <is>
          <t xml:space="preserve">https://www.molnlycke.com/globalassets/consensus-document-sustainable-procurement-in-the-health-care-sector-2024.pdf</t>
        </is>
      </c>
      <c r="J345" s="4"/>
      <c r="K345" s="2"/>
      <c r="L345" t="str" s="3">
        <f>HYPERLINK("https://www.getinge.com/de/news-und-events/neuigkeiten/gesundheitswesen/product-environmental-profiles/","/news-und-events/neuigkeiten/gesundheitswesen/product-environmental-profiles/")</f>
        <v>/news-und-events/neuigkeiten/gesundheitswesen/product-environmental-profiles/</v>
      </c>
    </row>
    <row r="346">
      <c r="A346" s="0">
        <v>345</v>
      </c>
      <c r="B346" t="str" s="3">
        <f>HYPERLINK("https://www.getinge.com/int/insights/updates/healthcare/product-environmental-profiles/","/insights/updates/healthcare/product-environmental-profiles/")</f>
        <v>/insights/updates/healthcare/product-environmental-profiles/</v>
      </c>
      <c r="C346" t="inlineStr" s="2">
        <is>
          <t xml:space="preserve">Moduevo ceiling unit, built using 100% locally sourced components in China</t>
        </is>
      </c>
      <c r="D346" t="inlineStr" s="2">
        <is>
          <t xml:space="preserve">Moduevo Deckenversorgungseinheit, gefertigt mit 100 % lokal beschafften Komponenten in China</t>
        </is>
      </c>
      <c r="E346" t="inlineStr" s="0">
        <is>
          <t xml:space="preserve">High</t>
        </is>
      </c>
      <c r="F346" s="4"/>
      <c r="G346" t="inlineStr" s="2">
        <is>
          <t xml:space="preserve">Maquet Meera und Maquet Corin Operationstische mit reduziertem Gewicht und weniger Komponenten</t>
        </is>
      </c>
      <c r="H346" s="2"/>
      <c r="I346" s="2"/>
      <c r="J346" s="4"/>
      <c r="K346" s="2"/>
      <c r="L346" t="str" s="3">
        <f>HYPERLINK("https://www.getinge.com/de/news-und-events/neuigkeiten/gesundheitswesen/product-environmental-profiles/","/news-und-events/neuigkeiten/gesundheitswesen/product-environmental-profiles/")</f>
        <v>/news-und-events/neuigkeiten/gesundheitswesen/product-environmental-profiles/</v>
      </c>
    </row>
    <row r="347">
      <c r="A347" s="0">
        <v>346</v>
      </c>
      <c r="B347" t="str" s="3">
        <f>HYPERLINK("https://www.getinge.com/int/insights/updates/healthcare/product-environmental-profiles/","/insights/updates/healthcare/product-environmental-profiles/")</f>
        <v>/insights/updates/healthcare/product-environmental-profiles/</v>
      </c>
      <c r="C347" t="inlineStr" s="2">
        <is>
          <t xml:space="preserve">Poladus 150 sterilizer, operating without water or pressurized air, cutting electricity use by 70% per liter sterilized medical device (compared to GSS67H-10 steam sterilizer)</t>
        </is>
      </c>
      <c r="D347" t="inlineStr" s="2">
        <is>
          <t xml:space="preserve">Poladus 150 Niedertemperatur-Sterilisator , arbeitet ohne Wasser oder Druckluft und senkt den Stromverbrauch um 70 % pro Liter sterilisierter Medizinprodukte (im Vergleich zum Dampfsterilisator GSS67H-10)</t>
        </is>
      </c>
      <c r="E347" t="inlineStr" s="0">
        <is>
          <t xml:space="preserve">High</t>
        </is>
      </c>
      <c r="F347" s="4"/>
      <c r="G347" t="inlineStr" s="2">
        <is>
          <t xml:space="preserve">Jedes PEP enthält außerdem praxisnahe Empfehlungen für Anwender – etwa das Ausschalten ungenutzter Geräte, die Vermeidung von Teilladungen oder die regelmäßige Wartung zur Verlängerung der Gerätelebensdauer.</t>
        </is>
      </c>
      <c r="H347" t="inlineStr" s="2">
        <is>
          <t xml:space="preserve">Durch die transparente Darstellung der Umweltauswirkungen entlang der gesamten Wertschöpfungskette bieten PEPs Krankenhäusern wertvolle Einblicke, um operative und wirtschaftliche Effizienzpotenziale zu identifizieren. Beispiele dafür sind:</t>
        </is>
      </c>
      <c r="I347" t="inlineStr" s="2">
        <is>
          <t xml:space="preserve">Vermeidung „versteckter Kosten“: Fundierte Kaufentscheidungen helfen, Risiken durch unsachgemäße Entsorgung, behördliche Sanktionen oder Reputationsschäden zu vermeiden.</t>
        </is>
      </c>
      <c r="J347" s="4"/>
      <c r="K347" s="2"/>
      <c r="L347" t="str" s="3">
        <f>HYPERLINK("https://www.getinge.com/de/news-und-events/neuigkeiten/gesundheitswesen/product-environmental-profiles/","/news-und-events/neuigkeiten/gesundheitswesen/product-environmental-profiles/")</f>
        <v>/news-und-events/neuigkeiten/gesundheitswesen/product-environmental-profiles/</v>
      </c>
    </row>
    <row r="348">
      <c r="A348" s="0">
        <v>347</v>
      </c>
      <c r="B348" t="str" s="3">
        <f>HYPERLINK("https://www.getinge.com/int/insights/updates/healthcare/product-environmental-profiles/","/insights/updates/healthcare/product-environmental-profiles/")</f>
        <v>/insights/updates/healthcare/product-environmental-profiles/</v>
      </c>
      <c r="C348" t="inlineStr" s="2">
        <is>
          <t xml:space="preserve">GSS67H steam sterilizer, saving up to 20-30% energy and 95% water compared to conventional models</t>
        </is>
      </c>
      <c r="D348" t="inlineStr" s="2">
        <is>
          <t xml:space="preserve">GSS67H Dampfsterilisator, spart bis zu 20–30 % Energie und 95 % Wasser im Vergleich zu herkömmlichen Modellen</t>
        </is>
      </c>
      <c r="E348" t="inlineStr" s="0">
        <is>
          <t xml:space="preserve">High</t>
        </is>
      </c>
      <c r="F348" s="4"/>
      <c r="G348" t="inlineStr" s="2">
        <is>
          <t xml:space="preserve">Maquet Meera und Maquet Corin Operationstische mit reduziertem Gewicht und weniger Komponenten</t>
        </is>
      </c>
      <c r="H348" t="inlineStr" s="2">
        <is>
          <t xml:space="preserve">Ezea OP-Leuchte, die im Standby weniger als 1 W verbraucht und 28 % weniger Energie benötigt als das Vorgängermodell</t>
        </is>
      </c>
      <c r="I348" t="inlineStr" s="2">
        <is>
          <t xml:space="preserve">Moduevo Deckenversorgungseinheit, gefertigt mit 100 % lokal beschafften Komponenten in China</t>
        </is>
      </c>
      <c r="J348" s="4"/>
      <c r="K348" s="2"/>
      <c r="L348" t="str" s="3">
        <f>HYPERLINK("https://www.getinge.com/de/news-und-events/neuigkeiten/gesundheitswesen/product-environmental-profiles/","/news-und-events/neuigkeiten/gesundheitswesen/product-environmental-profiles/")</f>
        <v>/news-und-events/neuigkeiten/gesundheitswesen/product-environmental-profiles/</v>
      </c>
    </row>
    <row r="349">
      <c r="A349" s="0">
        <v>348</v>
      </c>
      <c r="B349" t="str" s="3">
        <f>HYPERLINK("https://www.getinge.com/int/insights/updates/healthcare/product-environmental-profiles/","/insights/updates/healthcare/product-environmental-profiles/")</f>
        <v>/insights/updates/healthcare/product-environmental-profiles/</v>
      </c>
      <c r="C349" t="inlineStr" s="2">
        <is>
          <t xml:space="preserve">Each PEP also provides actionable user recommendations — from powering down idle equipment to avoiding half-empty loads, or maintaining devices for longer life.</t>
        </is>
      </c>
      <c r="D349" s="2"/>
      <c r="F349" s="4"/>
      <c r="G349" t="inlineStr" s="2">
        <is>
          <t xml:space="preserve">Vermeidung „versteckter Kosten“: Fundierte Kaufentscheidungen helfen, Risiken durch unsachgemäße Entsorgung, behördliche Sanktionen oder Reputationsschäden zu vermeiden.</t>
        </is>
      </c>
      <c r="H349" t="inlineStr" s="2">
        <is>
          <t xml:space="preserve">Die PEPs werden mit Tools wie EIME (Environmental Impact and Management Explorer) entwickelt und an regionale Gegebenheiten (EU, Nordamerika, Asien-Pazifik) angepasst.</t>
        </is>
      </c>
      <c r="I349" t="inlineStr" s="2">
        <is>
          <t xml:space="preserve">Jedes PEP enthält außerdem praxisnahe Empfehlungen für Anwender – etwa das Ausschalten ungenutzter Geräte, die Vermeidung von Teilladungen oder die regelmäßige Wartung zur Verlängerung der Gerätelebensdauer.</t>
        </is>
      </c>
      <c r="J349" s="4"/>
      <c r="K349" s="2"/>
      <c r="L349" t="str" s="3">
        <f>HYPERLINK("https://www.getinge.com/de/news-und-events/neuigkeiten/gesundheitswesen/product-environmental-profiles/","/news-und-events/neuigkeiten/gesundheitswesen/product-environmental-profiles/")</f>
        <v>/news-und-events/neuigkeiten/gesundheitswesen/product-environmental-profiles/</v>
      </c>
    </row>
    <row r="350">
      <c r="A350" s="0">
        <v>349</v>
      </c>
      <c r="B350" t="str" s="3">
        <f>HYPERLINK("https://www.getinge.com/int/insights/updates/healthcare/smart-and-seamless-solutions-for-your-operating-room/","/insights/updates/healthcare/smart-and-seamless-solutions-for-your-operating-room/")</f>
        <v>/insights/updates/healthcare/smart-and-seamless-solutions-for-your-operating-room/</v>
      </c>
      <c r="C350" t="inlineStr" s="2">
        <is>
          <t xml:space="preserve">Why the operating room is more than a collection of products</t>
        </is>
      </c>
      <c r="D350" t="inlineStr" s="2">
        <is>
          <t xml:space="preserve">Warum der Operationssaal mehr ist als eine Sammlung von Produkten</t>
        </is>
      </c>
      <c r="E350" t="inlineStr" s="0">
        <is>
          <t xml:space="preserve">Medium</t>
        </is>
      </c>
      <c r="F350" s="4"/>
      <c r="G350" t="inlineStr" s="2">
        <is>
          <t xml:space="preserve">Smarte und nahtlose Lösungen für den Operationssaal.</t>
        </is>
      </c>
      <c r="H350" t="inlineStr" s="2">
        <is>
          <t xml:space="preserve">Lässt die heutige Planung Raum für unvorhergesehene Veränderungen?</t>
        </is>
      </c>
      <c r="I350" t="inlineStr" s="2">
        <is>
          <t xml:space="preserve">Unterstützen sich Ausstattung und Arbeitsabläufe tatsächlich gegenseitig?</t>
        </is>
      </c>
      <c r="J350" s="4"/>
      <c r="K350" s="2"/>
      <c r="L350" t="str" s="3">
        <f>HYPERLINK("https://www.getinge.com/de/news-und-events/neuigkeiten/gesundheitswesen/smarte-und-nahtlose-loesungen-fuer-den-operationssaal/","/news-und-events/neuigkeiten/gesundheitswesen/smarte-und-nahtlose-loesungen-fuer-den-operationssaal/")</f>
        <v>/news-und-events/neuigkeiten/gesundheitswesen/smarte-und-nahtlose-loesungen-fuer-den-operationssaal/</v>
      </c>
    </row>
    <row r="351">
      <c r="A351" s="0">
        <v>350</v>
      </c>
      <c r="B351" t="str" s="3">
        <f>HYPERLINK("https://www.getinge.com/int/insights/updates/healthcare/smart-and-seamless-solutions-for-your-operating-room/","/insights/updates/healthcare/smart-and-seamless-solutions-for-your-operating-room/")</f>
        <v>/insights/updates/healthcare/smart-and-seamless-solutions-for-your-operating-room/</v>
      </c>
      <c r="C351" t="inlineStr" s="2">
        <is>
          <t xml:space="preserve">Designing the OR as an interconnected environment</t>
        </is>
      </c>
      <c r="D351" s="2"/>
      <c r="F351" s="4"/>
      <c r="G351" t="inlineStr" s="2">
        <is>
          <t xml:space="preserve">Warum der Operationssaal mehr ist als eine Sammlung von Produkten</t>
        </is>
      </c>
      <c r="H351" t="inlineStr" s="2">
        <is>
          <t xml:space="preserve">Smarte und nahtlose Lösungen für den Operationssaal.</t>
        </is>
      </c>
      <c r="I351" t="inlineStr" s="2">
        <is>
          <t xml:space="preserve">Den OP als zusammenhängendes System denken</t>
        </is>
      </c>
      <c r="J351" s="4"/>
      <c r="K351" s="2"/>
      <c r="L351" t="str" s="3">
        <f>HYPERLINK("https://www.getinge.com/de/news-und-events/neuigkeiten/gesundheitswesen/smarte-und-nahtlose-loesungen-fuer-den-operationssaal/","/news-und-events/neuigkeiten/gesundheitswesen/smarte-und-nahtlose-loesungen-fuer-den-operationssaal/")</f>
        <v>/news-und-events/neuigkeiten/gesundheitswesen/smarte-und-nahtlose-loesungen-fuer-den-operationssaal/</v>
      </c>
    </row>
    <row r="352">
      <c r="A352" s="0">
        <v>351</v>
      </c>
      <c r="B352" t="str" s="3">
        <f>HYPERLINK("https://www.getinge.com/int/insights/updates/healthcare/smart-and-seamless-solutions-for-your-operating-room/","/insights/updates/healthcare/smart-and-seamless-solutions-for-your-operating-room/")</f>
        <v>/insights/updates/healthcare/smart-and-seamless-solutions-for-your-operating-room/</v>
      </c>
      <c r="C352" t="inlineStr" s="2">
        <is>
          <t xml:space="preserve">Taking this system perspective on the operating room means asking practical questions about how things actually work together in daily practice:</t>
        </is>
      </c>
      <c r="D352" t="inlineStr" s="2">
        <is>
          <t xml:space="preserve">Diese Systemperspektive auf den Operationssaal einzunehmen bedeutet, sich ganz praktische Fragen zu stellen – nämlich wie Dinge im Alltag wirklich zusammenspielen:</t>
        </is>
      </c>
      <c r="E352" t="inlineStr" s="0">
        <is>
          <t xml:space="preserve">Medium</t>
        </is>
      </c>
      <c r="F352" s="4"/>
      <c r="G352" t="inlineStr" s="2">
        <is>
          <t xml:space="preserve">Mit jahrzehntelanger Erfahrung in Operationssälen weltweit bringt Getinge ein praxisnahes Verständnis dafür mit, wie sich OP-Umgebungen als sich entwickelnde Systeme verhalten.</t>
        </is>
      </c>
      <c r="H352" t="inlineStr" s="2">
        <is>
          <t xml:space="preserve">Wenn diese Aspekte zusammenpassen, kann die Leistung stabiler werden, die Koordination weniger Aufwand erfordern und Teams müssen weniger Zeit darauf verwenden, Lücken zu überbrücken.</t>
        </is>
      </c>
      <c r="I352" t="inlineStr" s="2">
        <is>
          <t xml:space="preserve">Aus diesem Grund bedeutet nachhaltige OP-Performance mehr als die Optimierung einzelner Produkte. Es geht darum zu verstehen, wie das gesamte Umfeld im Alltag tatsächlich funktioniert.</t>
        </is>
      </c>
      <c r="J352" s="4"/>
      <c r="K352" s="2"/>
      <c r="L352" t="str" s="3">
        <f>HYPERLINK("https://www.getinge.com/de/news-und-events/neuigkeiten/gesundheitswesen/smarte-und-nahtlose-loesungen-fuer-den-operationssaal/","/news-und-events/neuigkeiten/gesundheitswesen/smarte-und-nahtlose-loesungen-fuer-den-operationssaal/")</f>
        <v>/news-und-events/neuigkeiten/gesundheitswesen/smarte-und-nahtlose-loesungen-fuer-den-operationssaal/</v>
      </c>
    </row>
    <row r="353">
      <c r="A353" s="0">
        <v>352</v>
      </c>
      <c r="B353" t="str" s="3">
        <f>HYPERLINK("https://www.getinge.com/int/insights/updates/healthcare/smart-and-seamless-solutions-for-your-operating-room/","/insights/updates/healthcare/smart-and-seamless-solutions-for-your-operating-room/")</f>
        <v>/insights/updates/healthcare/smart-and-seamless-solutions-for-your-operating-room/</v>
      </c>
      <c r="C353" t="inlineStr" s="2">
        <is>
          <t xml:space="preserve">Do equipment and workflows genuinely support each other?</t>
        </is>
      </c>
      <c r="D353" s="2"/>
      <c r="F353" s="4"/>
      <c r="G353" t="inlineStr" s="2">
        <is>
          <t xml:space="preserve">Lässt die heutige Planung Raum für unvorhergesehene Veränderungen?</t>
        </is>
      </c>
      <c r="H353" t="inlineStr" s="2">
        <is>
          <t xml:space="preserve">Unterstützen sich Ausstattung und Arbeitsabläufe tatsächlich gegenseitig?</t>
        </is>
      </c>
      <c r="I353" t="inlineStr" s="2">
        <is>
          <t xml:space="preserve">Warum der Operationssaal mehr ist als eine Sammlung von Produkten</t>
        </is>
      </c>
      <c r="J353" s="4"/>
      <c r="K353" s="2"/>
      <c r="L353" t="str" s="3">
        <f>HYPERLINK("https://www.getinge.com/de/news-und-events/neuigkeiten/gesundheitswesen/smarte-und-nahtlose-loesungen-fuer-den-operationssaal/","/news-und-events/neuigkeiten/gesundheitswesen/smarte-und-nahtlose-loesungen-fuer-den-operationssaal/")</f>
        <v>/news-und-events/neuigkeiten/gesundheitswesen/smarte-und-nahtlose-loesungen-fuer-den-operationssaal/</v>
      </c>
    </row>
    <row r="354">
      <c r="A354" s="0">
        <v>353</v>
      </c>
      <c r="B354" t="str" s="3">
        <f>HYPERLINK("https://www.getinge.com/int/insights/updates/healthcare/smart-and-seamless-solutions-for-your-operating-room/","/insights/updates/healthcare/smart-and-seamless-solutions-for-your-operating-room/")</f>
        <v>/insights/updates/healthcare/smart-and-seamless-solutions-for-your-operating-room/</v>
      </c>
      <c r="C354" t="inlineStr" s="2">
        <is>
          <t xml:space="preserve">Does digital visibility simplify coordination – or add another layer?</t>
        </is>
      </c>
      <c r="D354" t="inlineStr" s="2">
        <is>
          <t xml:space="preserve">Vereinfacht digitale Transparenz die Koordination – oder schafft sie eine zusätzliche Ebene?</t>
        </is>
      </c>
      <c r="E354" t="inlineStr" s="0">
        <is>
          <t xml:space="preserve">Medium</t>
        </is>
      </c>
      <c r="F354" s="4"/>
      <c r="G354" t="inlineStr" s="2">
        <is>
          <t xml:space="preserve">Unterstützen sich Ausstattung und Arbeitsabläufe tatsächlich gegenseitig?</t>
        </is>
      </c>
      <c r="H354" t="inlineStr" s="2">
        <is>
          <t xml:space="preserve">Lässt die heutige Planung Raum für unvorhergesehene Veränderungen?</t>
        </is>
      </c>
      <c r="I354" t="inlineStr" s="2">
        <is>
          <t xml:space="preserve">Unterstützt das physische Setup die Ergonomie des Personals bei langen und komplexen Eingriffen?</t>
        </is>
      </c>
      <c r="J354" s="4"/>
      <c r="K354" s="2"/>
      <c r="L354" t="str" s="3">
        <f>HYPERLINK("https://www.getinge.com/de/news-und-events/neuigkeiten/gesundheitswesen/smarte-und-nahtlose-loesungen-fuer-den-operationssaal/","/news-und-events/neuigkeiten/gesundheitswesen/smarte-und-nahtlose-loesungen-fuer-den-operationssaal/")</f>
        <v>/news-und-events/neuigkeiten/gesundheitswesen/smarte-und-nahtlose-loesungen-fuer-den-operationssaal/</v>
      </c>
    </row>
    <row r="355">
      <c r="A355" s="0">
        <v>354</v>
      </c>
      <c r="B355" t="str" s="3">
        <f>HYPERLINK("https://www.getinge.com/int/insights/updates/healthcare/smart-and-seamless-solutions-for-your-operating-room/","/insights/updates/healthcare/smart-and-seamless-solutions-for-your-operating-room/")</f>
        <v>/insights/updates/healthcare/smart-and-seamless-solutions-for-your-operating-room/</v>
      </c>
      <c r="C355" t="inlineStr" s="2">
        <is>
          <t xml:space="preserve">Does the physical setup support staff ergonomics during long and complex procedures?</t>
        </is>
      </c>
      <c r="D355" t="inlineStr" s="2">
        <is>
          <t xml:space="preserve">Unterstützt das physische Setup die Ergonomie des Personals bei langen und komplexen Eingriffen?</t>
        </is>
      </c>
      <c r="E355" t="inlineStr" s="0">
        <is>
          <t xml:space="preserve">Medium</t>
        </is>
      </c>
      <c r="F355" s="4"/>
      <c r="G355" t="inlineStr" s="2">
        <is>
          <t xml:space="preserve">Vereinfacht digitale Transparenz die Koordination – oder schafft sie eine zusätzliche Ebene?</t>
        </is>
      </c>
      <c r="H355" t="inlineStr" s="2">
        <is>
          <t xml:space="preserve">Unterstützen sich Ausstattung und Arbeitsabläufe tatsächlich gegenseitig?</t>
        </is>
      </c>
      <c r="I355" t="inlineStr" s="2">
        <is>
          <t xml:space="preserve">Sind Servicekonzepte auf die tatsächliche Nutzung und operative Belastung abgestimmt, um Planbarkeit und Verfügbarkeit zu verbessern?</t>
        </is>
      </c>
      <c r="J355" s="4"/>
      <c r="K355" s="2"/>
      <c r="L355" t="str" s="3">
        <f>HYPERLINK("https://www.getinge.com/de/news-und-events/neuigkeiten/gesundheitswesen/smarte-und-nahtlose-loesungen-fuer-den-operationssaal/","/news-und-events/neuigkeiten/gesundheitswesen/smarte-und-nahtlose-loesungen-fuer-den-operationssaal/")</f>
        <v>/news-und-events/neuigkeiten/gesundheitswesen/smarte-und-nahtlose-loesungen-fuer-den-operationssaal/</v>
      </c>
    </row>
    <row r="356">
      <c r="A356" s="0">
        <v>355</v>
      </c>
      <c r="B356" t="str" s="3">
        <f>HYPERLINK("https://www.getinge.com/int/insights/updates/healthcare/smart-and-seamless-solutions-for-your-operating-room/","/insights/updates/healthcare/smart-and-seamless-solutions-for-your-operating-room/")</f>
        <v>/insights/updates/healthcare/smart-and-seamless-solutions-for-your-operating-room/</v>
      </c>
      <c r="C356" t="inlineStr" s="2">
        <is>
          <t xml:space="preserve">Are service strategies aligned with actual usage and operational pressure to improve predictability and uptime?</t>
        </is>
      </c>
      <c r="D356" t="inlineStr" s="2">
        <is>
          <t xml:space="preserve">Sind Servicekonzepte auf die tatsächliche Nutzung und operative Belastung abgestimmt, um Planbarkeit und Verfügbarkeit zu verbessern?</t>
        </is>
      </c>
      <c r="E356" t="inlineStr" s="0">
        <is>
          <t xml:space="preserve">Medium</t>
        </is>
      </c>
      <c r="F356" s="4"/>
      <c r="G356" t="inlineStr" s="2">
        <is>
          <t xml:space="preserve">Unterstützt das physische Setup die Ergonomie des Personals bei langen und komplexen Eingriffen?</t>
        </is>
      </c>
      <c r="H356" t="inlineStr" s="2">
        <is>
          <t xml:space="preserve">Diese Systemperspektive auf den Operationssaal einzunehmen bedeutet, sich ganz praktische Fragen zu stellen – nämlich wie Dinge im Alltag wirklich zusammenspielen:</t>
        </is>
      </c>
      <c r="I356" t="inlineStr" s="2">
        <is>
          <t xml:space="preserve">Vereinfacht digitale Transparenz die Koordination – oder schafft sie eine zusätzliche Ebene?</t>
        </is>
      </c>
      <c r="J356" s="4"/>
      <c r="K356" s="2"/>
      <c r="L356" t="str" s="3">
        <f>HYPERLINK("https://www.getinge.com/de/news-und-events/neuigkeiten/gesundheitswesen/smarte-und-nahtlose-loesungen-fuer-den-operationssaal/","/news-und-events/neuigkeiten/gesundheitswesen/smarte-und-nahtlose-loesungen-fuer-den-operationssaal/")</f>
        <v>/news-und-events/neuigkeiten/gesundheitswesen/smarte-und-nahtlose-loesungen-fuer-den-operationssaal/</v>
      </c>
    </row>
    <row r="357">
      <c r="A357" s="0">
        <v>356</v>
      </c>
      <c r="B357" t="str" s="3">
        <f>HYPERLINK("https://www.getinge.com/int/insights/updates/healthcare/smart-and-seamless-solutions-for-your-operating-room/","/insights/updates/healthcare/smart-and-seamless-solutions-for-your-operating-room/")</f>
        <v>/insights/updates/healthcare/smart-and-seamless-solutions-for-your-operating-room/</v>
      </c>
      <c r="C357" t="inlineStr" s="2">
        <is>
          <t xml:space="preserve">Does today’s planning leave room for unforeseen changes?</t>
        </is>
      </c>
      <c r="D357" t="inlineStr" s="2">
        <is>
          <t xml:space="preserve">Lässt die heutige Planung Raum für unvorhergesehene Veränderungen?</t>
        </is>
      </c>
      <c r="E357" t="inlineStr" s="0">
        <is>
          <t xml:space="preserve">Medium</t>
        </is>
      </c>
      <c r="F357" s="4"/>
      <c r="G357" t="inlineStr" s="2">
        <is>
          <t xml:space="preserve">Unterstützen sich Ausstattung und Arbeitsabläufe tatsächlich gegenseitig?</t>
        </is>
      </c>
      <c r="H357" t="inlineStr" s="2">
        <is>
          <t xml:space="preserve">Warum der Operationssaal mehr ist als eine Sammlung von Produkten</t>
        </is>
      </c>
      <c r="I357" t="inlineStr" s="2">
        <is>
          <t xml:space="preserve">Smarte und nahtlose Lösungen für den Operationssaal.</t>
        </is>
      </c>
      <c r="J357" s="4"/>
      <c r="K357" s="2"/>
      <c r="L357" t="str" s="3">
        <f>HYPERLINK("https://www.getinge.com/de/news-und-events/neuigkeiten/gesundheitswesen/smarte-und-nahtlose-loesungen-fuer-den-operationssaal/","/news-und-events/neuigkeiten/gesundheitswesen/smarte-und-nahtlose-loesungen-fuer-den-operationssaal/")</f>
        <v>/news-und-events/neuigkeiten/gesundheitswesen/smarte-und-nahtlose-loesungen-fuer-den-operationssaal/</v>
      </c>
    </row>
    <row r="358">
      <c r="A358" s="0">
        <v>357</v>
      </c>
      <c r="B358" t="str" s="3">
        <f>HYPERLINK("https://www.getinge.com/int/insights/updates/healthcare/smart-and-seamless-solutions-for-your-operating-room/","/insights/updates/healthcare/smart-and-seamless-solutions-for-your-operating-room/")</f>
        <v>/insights/updates/healthcare/smart-and-seamless-solutions-for-your-operating-room/</v>
      </c>
      <c r="C358" t="inlineStr" s="2">
        <is>
          <t xml:space="preserve">When these aspects fit together, performance can become more stable, coordination requires less effort, and teams spend less time bridging gaps. Of course, that does not mean replacing everything. Progress can be made step-by-step within existing infrastructures, across vendors, and over time.</t>
        </is>
      </c>
      <c r="D358" s="2"/>
      <c r="F358" s="4"/>
      <c r="G358" t="inlineStr" s="2">
        <is>
          <t xml:space="preserve">Moderne Operationssäle gehören zu den komplexesten Umgebungen im Gesundheitswesen. Im Laufe der Jahre investieren Krankenhäuser in fortschrittliche chirurgische Geräte, digitale Tools, Infrastruktur und Servicekonzepte – meist, um sehr spezifische Herausforderungen zu einem bestimmten Zeitpunkt zu lösen. Für sich genommen funktionieren diese Lösungen wie vorgesehen.</t>
        </is>
      </c>
      <c r="H358" t="inlineStr" s="2">
        <is>
          <t xml:space="preserve">Doch jeder, der im OP arbeitet, weiß: Die langfristige Leistungsfähigkeit eines Operationssaals wird selten durch eine einzelne Komponente bestimmt. Sie hängt davon ab, wie gut Technologien, Arbeitsabläufe, Servicekonzepte und Planungsentscheidungen im Zeitverlauf zusammenspielen. Und mit zunehmender Komplexität erfordert die Koordination mehr Aufmerksamkeit, um alles reibungslos am Laufen zu halten.</t>
        </is>
      </c>
      <c r="I358" t="inlineStr" s="2">
        <is>
          <t xml:space="preserve">Wenn diese Aspekte zusammenpassen, kann die Leistung stabiler werden, die Koordination weniger Aufwand erfordern und Teams müssen weniger Zeit darauf verwenden, Lücken zu überbrücken.</t>
        </is>
      </c>
      <c r="J358" s="4"/>
      <c r="K358" s="2"/>
      <c r="L358" t="str" s="3">
        <f>HYPERLINK("https://www.getinge.com/de/news-und-events/neuigkeiten/gesundheitswesen/smarte-und-nahtlose-loesungen-fuer-den-operationssaal/","/news-und-events/neuigkeiten/gesundheitswesen/smarte-und-nahtlose-loesungen-fuer-den-operationssaal/")</f>
        <v>/news-und-events/neuigkeiten/gesundheitswesen/smarte-und-nahtlose-loesungen-fuer-den-operationssaal/</v>
      </c>
    </row>
    <row r="359">
      <c r="A359" s="0">
        <v>358</v>
      </c>
      <c r="B359" t="str" s="3">
        <f>HYPERLINK("https://www.getinge.com/int/insights/updates/healthcare/smart-and-seamless-solutions-for-your-operating-room/","/insights/updates/healthcare/smart-and-seamless-solutions-for-your-operating-room/")</f>
        <v>/insights/updates/healthcare/smart-and-seamless-solutions-for-your-operating-room/</v>
      </c>
      <c r="C359" t="inlineStr" s="2">
        <is>
          <t xml:space="preserve">Experience that understands the whole picture</t>
        </is>
      </c>
      <c r="D359" s="2"/>
      <c r="F359" s="4"/>
      <c r="G359" t="inlineStr" s="2">
        <is>
          <t xml:space="preserve">Den OP als zusammenhängendes System denken</t>
        </is>
      </c>
      <c r="H359" t="inlineStr" s="2">
        <is>
          <t xml:space="preserve">Warum der Operationssaal mehr ist als eine Sammlung von Produkten</t>
        </is>
      </c>
      <c r="I359" t="inlineStr" s="2">
        <is>
          <t xml:space="preserve">Smarte und nahtlose Lösungen für den Operationssaal.</t>
        </is>
      </c>
      <c r="J359" s="4"/>
      <c r="K359" s="2"/>
      <c r="L359" t="str" s="3">
        <f>HYPERLINK("https://www.getinge.com/de/news-und-events/neuigkeiten/gesundheitswesen/smarte-und-nahtlose-loesungen-fuer-den-operationssaal/","/news-und-events/neuigkeiten/gesundheitswesen/smarte-und-nahtlose-loesungen-fuer-den-operationssaal/")</f>
        <v>/news-und-events/neuigkeiten/gesundheitswesen/smarte-und-nahtlose-loesungen-fuer-den-operationssaal/</v>
      </c>
    </row>
    <row r="360">
      <c r="A360" s="0">
        <v>359</v>
      </c>
      <c r="B360" t="str" s="3">
        <f>HYPERLINK("https://www.getinge.com/int/insights/updates/healthcare/smart-and-seamless-solutions-for-your-operating-room/","/insights/updates/healthcare/smart-and-seamless-solutions-for-your-operating-room/")</f>
        <v>/insights/updates/healthcare/smart-and-seamless-solutions-for-your-operating-room/</v>
      </c>
      <c r="C360" t="inlineStr" s="2">
        <is>
          <t xml:space="preserve">With decades of experience in operating room environments worldwide, Getinge brings a practical understanding of how operating rooms function as evolving systems.</t>
        </is>
      </c>
      <c r="D360" t="inlineStr" s="2">
        <is>
          <t xml:space="preserve">Mit jahrzehntelanger Erfahrung in Operationssälen weltweit bringt Getinge ein praxisnahes Verständnis dafür mit, wie sich OP-Umgebungen als sich entwickelnde Systeme verhalten.</t>
        </is>
      </c>
      <c r="E360" t="inlineStr" s="0">
        <is>
          <t xml:space="preserve">Medium</t>
        </is>
      </c>
      <c r="F360" s="4"/>
      <c r="G360" t="inlineStr" s="2">
        <is>
          <t xml:space="preserve">Diese Systemperspektive auf den Operationssaal einzunehmen bedeutet, sich ganz praktische Fragen zu stellen – nämlich wie Dinge im Alltag wirklich zusammenspielen:</t>
        </is>
      </c>
      <c r="H360" t="inlineStr" s="2">
        <is>
          <t xml:space="preserve">Aus diesem Grund bedeutet nachhaltige OP-Performance mehr als die Optimierung einzelner Produkte. Es geht darum zu verstehen, wie das gesamte Umfeld im Alltag tatsächlich funktioniert.</t>
        </is>
      </c>
      <c r="I360" t="inlineStr" s="2">
        <is>
          <t xml:space="preserve">Wenn diese Aspekte zusammenpassen, kann die Leistung stabiler werden, die Koordination weniger Aufwand erfordern und Teams müssen weniger Zeit darauf verwenden, Lücken zu überbrücken.</t>
        </is>
      </c>
      <c r="J360" s="4"/>
      <c r="K360" s="2"/>
      <c r="L360" t="str" s="3">
        <f>HYPERLINK("https://www.getinge.com/de/news-und-events/neuigkeiten/gesundheitswesen/smarte-und-nahtlose-loesungen-fuer-den-operationssaal/","/news-und-events/neuigkeiten/gesundheitswesen/smarte-und-nahtlose-loesungen-fuer-den-operationssaal/")</f>
        <v>/news-und-events/neuigkeiten/gesundheitswesen/smarte-und-nahtlose-loesungen-fuer-den-operationssaal/</v>
      </c>
    </row>
    <row r="361">
      <c r="A361" s="0">
        <v>360</v>
      </c>
      <c r="B361" t="str" s="3">
        <f>HYPERLINK("https://www.getinge.com/int/insights/updates/healthcare/smart-and-seamless-solutions-for-your-operating-room/","/insights/updates/healthcare/smart-and-seamless-solutions-for-your-operating-room/")</f>
        <v>/insights/updates/healthcare/smart-and-seamless-solutions-for-your-operating-room/</v>
      </c>
      <c r="C361" t="inlineStr" s="2">
        <is>
          <t xml:space="preserve">From equipment and digital applications to service models and OR planning, we look at how these elements work together in everyday operation — and how they support reliable long-term performance.</t>
        </is>
      </c>
      <c r="D361" t="inlineStr" s="2">
        <is>
          <t xml:space="preserve">Von Geräten und digitalen Anwendungen bis hin zu Servicekonzepten und OP-Planung betrachten wir, wie diese Elemente im Alltag zusammenspielen – und wie sie eine verlässliche, langfristige Performance unterstützen.</t>
        </is>
      </c>
      <c r="E361" t="inlineStr" s="0">
        <is>
          <t xml:space="preserve">Medium</t>
        </is>
      </c>
      <c r="F361" s="4"/>
      <c r="G361" t="inlineStr" s="2">
        <is>
          <t xml:space="preserve">Aus diesem Grund bedeutet nachhaltige OP-Performance mehr als die Optimierung einzelner Produkte. Es geht darum zu verstehen, wie das gesamte Umfeld im Alltag tatsächlich funktioniert.</t>
        </is>
      </c>
      <c r="H361" t="inlineStr" s="2">
        <is>
          <t xml:space="preserve">Mit jahrzehntelanger Erfahrung in Operationssälen weltweit bringt Getinge ein praxisnahes Verständnis dafür mit, wie sich OP-Umgebungen als sich entwickelnde Systeme verhalten.</t>
        </is>
      </c>
      <c r="I361" t="inlineStr" s="2">
        <is>
          <t xml:space="preserve">Das bedeutet jedoch nicht, alles auszutauschen. Fortschritte lassen sich schrittweise erzielen – innerhalb bestehender Infrastrukturen, über verschiedene Anbieter hinweg und im Zeitverlauf.</t>
        </is>
      </c>
      <c r="J361" s="4"/>
      <c r="K361" s="2"/>
      <c r="L361" t="str" s="3">
        <f>HYPERLINK("https://www.getinge.com/de/news-und-events/neuigkeiten/gesundheitswesen/smarte-und-nahtlose-loesungen-fuer-den-operationssaal/","/news-und-events/neuigkeiten/gesundheitswesen/smarte-und-nahtlose-loesungen-fuer-den-operationssaal/")</f>
        <v>/news-und-events/neuigkeiten/gesundheitswesen/smarte-und-nahtlose-loesungen-fuer-den-operationssaal/</v>
      </c>
    </row>
    <row r="362">
      <c r="A362" s="0">
        <v>361</v>
      </c>
      <c r="B362" t="str" s="3">
        <f>HYPERLINK("https://www.getinge.com/int/insights/updates/healthcare/smart-and-seamless-solutions-for-your-operating-room/","/insights/updates/healthcare/smart-and-seamless-solutions-for-your-operating-room/")</f>
        <v>/insights/updates/healthcare/smart-and-seamless-solutions-for-your-operating-room/</v>
      </c>
      <c r="C362" t="inlineStr" s="2">
        <is>
          <t xml:space="preserve">Smart and seamless solutions for your Operating Room.</t>
        </is>
      </c>
      <c r="D362" t="inlineStr" s="2">
        <is>
          <t xml:space="preserve">Smarte und nahtlose Lösungen für den Operationssaal.</t>
        </is>
      </c>
      <c r="E362" t="inlineStr" s="0">
        <is>
          <t xml:space="preserve">Medium</t>
        </is>
      </c>
      <c r="F362" s="4"/>
      <c r="G362" t="inlineStr" s="2">
        <is>
          <t xml:space="preserve">Warum der Operationssaal mehr ist als eine Sammlung von Produkten</t>
        </is>
      </c>
      <c r="H362" t="inlineStr" s="2">
        <is>
          <t xml:space="preserve">Lässt die heutige Planung Raum für unvorhergesehene Veränderungen?</t>
        </is>
      </c>
      <c r="I362" t="inlineStr" s="2">
        <is>
          <t xml:space="preserve">Unterstützen sich Ausstattung und Arbeitsabläufe tatsächlich gegenseitig?</t>
        </is>
      </c>
      <c r="J362" s="4"/>
      <c r="K362" s="2"/>
      <c r="L362" t="str" s="3">
        <f>HYPERLINK("https://www.getinge.com/de/news-und-events/neuigkeiten/gesundheitswesen/smarte-und-nahtlose-loesungen-fuer-den-operationssaal/","/news-und-events/neuigkeiten/gesundheitswesen/smarte-und-nahtlose-loesungen-fuer-den-operationssaal/")</f>
        <v>/news-und-events/neuigkeiten/gesundheitswesen/smarte-und-nahtlose-loesungen-fuer-den-operationssaal/</v>
      </c>
    </row>
    <row r="363">
      <c r="A363" s="0">
        <v>362</v>
      </c>
      <c r="B363" t="str" s="3">
        <f>HYPERLINK("https://www.getinge.com/int/insights/updates/healthcare/technological-innovation-modular-ventilators-in-intensive-care/","/insights/updates/healthcare/technological-innovation-modular-ventilators-in-intensive-care/")</f>
        <v>/insights/updates/healthcare/technological-innovation-modular-ventilators-in-intensive-care/</v>
      </c>
      <c r="C363" t="inlineStr" s="2">
        <is>
          <t xml:space="preserve">Balancing advanced patient care with budget constraints remains a constant challenge within intensive care. For example, should all ventilators provide specialized custom functionalities, or is there a more efficient approach? Getinge offers a modular concept with its Servo ventilators, enabling tailored, needs-based solutions without requiring investment in highly specialized equipment for every use case.</t>
        </is>
      </c>
      <c r="D363" t="inlineStr" s="2">
        <is>
          <t xml:space="preserve">Die Balance zwischen fortschrittlicher Patientenversorgung und Budgetbeschränkungen ist eine konstante Herausforderung in der Intensivmedizin. Muss jedes Beatmungsgerät wirklich alle spezialisierten Funktionen bieten, oder gibt es einen effizienteren Ansatz? Getinge stellt mit den modularen Servo Beatmungsgeräten ein innovatives Konzept bereit, das maßgeschneiderte, bedarfsgerechte Lösungen ermöglicht, ohne unnötige Kosten für spezialisierte Geräte zu verursachen.</t>
        </is>
      </c>
      <c r="E363" t="inlineStr" s="0">
        <is>
          <t xml:space="preserve">Medium</t>
        </is>
      </c>
      <c r="F363" s="4"/>
      <c r="G363" t="inlineStr" s="2">
        <is>
          <t xml:space="preserve">Investitionskosten in neue Geräte senken: Mit der Möglichkeit, Module im laufenden Betrieb zu wechseln, benötigen Intensivstationen weniger spezialisierte Beatmungsgeräte. Dies führt direkt zu reduzierten Ausgaben, da die Anschaffung mehrerer, hochspezialisierter Geräte vermieden wird. Die Module können flexibel und je nach Bedarf ausgetauscht werden, was nicht nur kosteneffizient, sondern auch praktisch ist.</t>
        </is>
      </c>
      <c r="H363" t="inlineStr" s="2">
        <is>
          <t xml:space="preserve">Zu den verfügbaren Modulen gehören die Y-Sensormodule für die transpulmonale Druckmessung und das Edi-Modul für NAVA, eine Funktion, die im Markt einzigartig ist. Zudem sind Module für die Hauptstrom-CO2-Messung oder ein Modul für die Hochfrequenz-Oszillation für Frühgeborene erhältlich. Für Situationen, in denen eine erweiterte Batterielebensdauer erforderlich ist, können Module zur Verdreifachung der Batteriekapazität hinzugefügt werden.</t>
        </is>
      </c>
      <c r="I363" t="inlineStr" s="2">
        <is>
          <t xml:space="preserve">Abläufe auf Station optimieren: Die Mobilität und Flexibilität der Module eliminieren den Bedarf, ganze Geräte zwischen den Stationen hin und her zu bewegen. Dies ist besonders vorteilhaft für Stationen mit fest installierten Geräten. Die Hotplug-Fähigkeit erlaubt das einfache Umstecken der Module im laufenden Betrieb, was Zeit spart, und die Effizienz erhöht. Zudem wird der Verbrauch von Schlauchsystemen durch das Vermeiden von umständlichen Auf- und Abrüstprozessen reduziert, was zusätzlich Kosten spart und den Arbeitsaufwand minimiert.</t>
        </is>
      </c>
      <c r="J363" s="4"/>
      <c r="K363" s="2"/>
      <c r="L363" t="str" s="3">
        <f>HYPERLINK("https://www.getinge.com/de/news-und-events/neuigkeiten/gesundheitswesen/technologische-innovation-modulare-beatmungsgerate-in-der-intensivbeatmung/","/news-und-events/neuigkeiten/gesundheitswesen/technologische-innovation-modulare-beatmungsgerate-in-der-intensivbeatmung/")</f>
        <v>/news-und-events/neuigkeiten/gesundheitswesen/technologische-innovation-modulare-beatmungsgerate-in-der-intensivbeatmung/</v>
      </c>
    </row>
    <row r="364">
      <c r="A364" s="0">
        <v>363</v>
      </c>
      <c r="B364" t="str" s="3">
        <f>HYPERLINK("https://www.getinge.com/int/insights/updates/healthcare/technological-innovation-modular-ventilators-in-intensive-care/","/insights/updates/healthcare/technological-innovation-modular-ventilators-in-intensive-care/")</f>
        <v>/insights/updates/healthcare/technological-innovation-modular-ventilators-in-intensive-care/</v>
      </c>
      <c r="C364" t="inlineStr" s="2">
        <is>
          <t xml:space="preserve">The challenge – Maximizing functionality with limited budgets</t>
        </is>
      </c>
      <c r="D364" t="inlineStr" s="2">
        <is>
          <t xml:space="preserve">Die Herausforderung – Maximale Funktionalität bei begrenztem Budget</t>
        </is>
      </c>
      <c r="E364" t="inlineStr" s="0">
        <is>
          <t xml:space="preserve">High</t>
        </is>
      </c>
      <c r="F364" s="4"/>
      <c r="G364" t="inlineStr" s="2">
        <is>
          <t xml:space="preserve">Die Erfahrungen der pädiatrischen ITS des Universitätsklinikums Köln</t>
        </is>
      </c>
      <c r="H364" t="inlineStr" s="2">
        <is>
          <t xml:space="preserve">Kostensenkung und Prozessoptimierung – Die Vorteile der Modularität</t>
        </is>
      </c>
      <c r="I364" t="inlineStr" s="2">
        <is>
          <t xml:space="preserve">In diesem Spannungsfeld stellt Getinge eine innovative Lösung bereit, die maximale Funktionalität und budgetäre Anforderungen miteinander vereint.</t>
        </is>
      </c>
      <c r="J364" s="4"/>
      <c r="K364" s="2"/>
      <c r="L364" t="str" s="3">
        <f>HYPERLINK("https://www.getinge.com/de/news-und-events/neuigkeiten/gesundheitswesen/technologische-innovation-modulare-beatmungsgerate-in-der-intensivbeatmung/","/news-und-events/neuigkeiten/gesundheitswesen/technologische-innovation-modulare-beatmungsgerate-in-der-intensivbeatmung/")</f>
        <v>/news-und-events/neuigkeiten/gesundheitswesen/technologische-innovation-modulare-beatmungsgerate-in-der-intensivbeatmung/</v>
      </c>
    </row>
    <row r="365">
      <c r="A365" s="0">
        <v>364</v>
      </c>
      <c r="B365" t="str" s="3">
        <f>HYPERLINK("https://www.getinge.com/int/insights/updates/healthcare/technological-innovation-modular-ventilators-in-intensive-care/","/insights/updates/healthcare/technological-innovation-modular-ventilators-in-intensive-care/")</f>
        <v>/insights/updates/healthcare/technological-innovation-modular-ventilators-in-intensive-care/</v>
      </c>
      <c r="C365" t="inlineStr" s="2">
        <is>
          <t xml:space="preserve">Healthcare providers are often faced with the challenge of achieving maximum functionality from their ventilators while working within limited budgets. Every investment in new equipment is significant and must be carefully considered, particularly in the context of ongoing cost pressure in healthcare systems worldwide.</t>
        </is>
      </c>
      <c r="D365" t="inlineStr" s="2">
        <is>
          <t xml:space="preserve">Medizinische Einrichtungen stehen oft vor der Herausforderung, mit limitierten Budgets eine maximale Funktionalität ihrer Beatmungsgeräte zu erzielen. Jede Investition in neue Geräte ist kostenintensiv und muss wohlüberlegt sein, insbesondere vor dem Hintergrund des anhaltenden Kostendrucks im Gesundheitswesen.</t>
        </is>
      </c>
      <c r="E365" t="inlineStr" s="0">
        <is>
          <t xml:space="preserve">Medium</t>
        </is>
      </c>
      <c r="F365" s="4"/>
      <c r="G365" t="inlineStr" s="2">
        <is>
          <t xml:space="preserve">Investitionskosten in neue Geräte senken: Mit der Möglichkeit, Module im laufenden Betrieb zu wechseln, benötigen Intensivstationen weniger spezialisierte Beatmungsgeräte. Dies führt direkt zu reduzierten Ausgaben, da die Anschaffung mehrerer, hochspezialisierter Geräte vermieden wird. Die Module können flexibel und je nach Bedarf ausgetauscht werden, was nicht nur kosteneffizient, sondern auch praktisch ist.</t>
        </is>
      </c>
      <c r="H365" t="inlineStr" s="2">
        <is>
          <t xml:space="preserve">Die Balance zwischen fortschrittlicher Patientenversorgung und Budgetbeschränkungen ist eine konstante Herausforderung in der Intensivmedizin. Muss jedes Beatmungsgerät wirklich alle spezialisierten Funktionen bieten, oder gibt es einen effizienteren Ansatz? Getinge stellt mit den modularen Servo Beatmungsgeräten ein innovatives Konzept bereit, das maßgeschneiderte, bedarfsgerechte Lösungen ermöglicht, ohne unnötige Kosten für spezialisierte Geräte zu verursachen.</t>
        </is>
      </c>
      <c r="I365" t="inlineStr" s="2">
        <is>
          <t xml:space="preserve">Zu den verfügbaren Modulen gehören die Y-Sensormodule für die transpulmonale Druckmessung und das Edi-Modul für NAVA, eine Funktion, die im Markt einzigartig ist. Zudem sind Module für die Hauptstrom-CO2-Messung oder ein Modul für die Hochfrequenz-Oszillation für Frühgeborene erhältlich. Für Situationen, in denen eine erweiterte Batterielebensdauer erforderlich ist, können Module zur Verdreifachung der Batteriekapazität hinzugefügt werden.</t>
        </is>
      </c>
      <c r="J365" s="4"/>
      <c r="K365" s="2"/>
      <c r="L365" t="str" s="3">
        <f>HYPERLINK("https://www.getinge.com/de/news-und-events/neuigkeiten/gesundheitswesen/technologische-innovation-modulare-beatmungsgerate-in-der-intensivbeatmung/","/news-und-events/neuigkeiten/gesundheitswesen/technologische-innovation-modulare-beatmungsgerate-in-der-intensivbeatmung/")</f>
        <v>/news-und-events/neuigkeiten/gesundheitswesen/technologische-innovation-modulare-beatmungsgerate-in-der-intensivbeatmung/</v>
      </c>
    </row>
    <row r="366">
      <c r="A366" s="0">
        <v>365</v>
      </c>
      <c r="B366" t="str" s="3">
        <f>HYPERLINK("https://www.getinge.com/int/insights/updates/healthcare/technological-innovation-modular-ventilators-in-intensive-care/","/insights/updates/healthcare/technological-innovation-modular-ventilators-in-intensive-care/")</f>
        <v>/insights/updates/healthcare/technological-innovation-modular-ventilators-in-intensive-care/</v>
      </c>
      <c r="C366" t="inlineStr" s="2">
        <is>
          <t xml:space="preserve">In many cases, basic ventilation modes and functions are sufficient to provide evidence-based care for a large proportion of patients. However, there are situations where advanced therapies such as Neurally Adjusted Ventilatory Assist (NAVA) or advanced monitoring such as transpulmonary pressure (a method to assess lung mechanics) may be required — for example, in cases of difficult or prolonged weaning from mechanical ventilation or severe respiratory failure.</t>
        </is>
      </c>
      <c r="D366" t="inlineStr" s="2">
        <is>
          <t xml:space="preserve">In vielen Fällen reichen grundlegende Beatmungsmodi und Funktionen aus, um einen Großteil der Patienten evidenzbasiert zu beatmen. Doch es gibt immer wieder Sonderfälle, in denen Spezialverfahren wie Neurally Adjusted Ventilatory Assist (NAVA) oder Transpulmonale Druckmessung erforderlich sind, beispielsweise bei der schwierigen oder prolongierten Entwöhnung vom Beatmungsgerät oder bei schwerem Lungenversagen. Da diese Patientengruppen oft nur einen kleinen Anteil ausmachen, wird die Investition in hochspezialisierte Geräte, die nur gelegentlich zum Einsatz kommen, zu einer schwerwiegenderen Entscheidung.</t>
        </is>
      </c>
      <c r="E366" t="inlineStr" s="0">
        <is>
          <t xml:space="preserve">Medium</t>
        </is>
      </c>
      <c r="F366" s="4"/>
      <c r="G366" t="inlineStr" s="2">
        <is>
          <t xml:space="preserve">Zu den verfügbaren Modulen gehören die Y-Sensormodule für die transpulmonale Druckmessung und das Edi-Modul für NAVA, eine Funktion, die im Markt einzigartig ist. Zudem sind Module für die Hauptstrom-CO2-Messung oder ein Modul für die Hochfrequenz-Oszillation für Frühgeborene erhältlich. Für Situationen, in denen eine erweiterte Batterielebensdauer erforderlich ist, können Module zur Verdreifachung der Batteriekapazität hinzugefügt werden.</t>
        </is>
      </c>
      <c r="H366" t="inlineStr" s="2">
        <is>
          <t xml:space="preserve">Die Balance zwischen fortschrittlicher Patientenversorgung und Budgetbeschränkungen ist eine konstante Herausforderung in der Intensivmedizin. Muss jedes Beatmungsgerät wirklich alle spezialisierten Funktionen bieten, oder gibt es einen effizienteren Ansatz? Getinge stellt mit den modularen Servo Beatmungsgeräten ein innovatives Konzept bereit, das maßgeschneiderte, bedarfsgerechte Lösungen ermöglicht, ohne unnötige Kosten für spezialisierte Geräte zu verursachen.</t>
        </is>
      </c>
      <c r="I366" t="inlineStr" s="2">
        <is>
          <t xml:space="preserve">Teamleiterin Mareike Brandt freut sich, dass mit diesem Konzept eine individuelle und bedarfsgerechte Patientenversorgung möglich ist, ohne dass für jedes Bett ein voll ausgestattetes Beatmungsgerät bereitgestellt werden muss: "Die Vorteile der Hotplug-Fähigkeit liegen darin, dass wir nicht das gesamte Beatmungsgerät austauschen müssen, wenn beispielsweise ein Patient die NAVA-Funktion benötigt. Das NAVA-Modul kann während der laufenden Beatmung einfach von einem Gerät auf ein anderes umgesteckt werden. Dies spart nicht nur wertvolle Zeit, sondern reduziert auch den Verbrauch von Schlauchsystemen."</t>
        </is>
      </c>
      <c r="J366" s="4"/>
      <c r="K366" s="2"/>
      <c r="L366" t="str" s="3">
        <f>HYPERLINK("https://www.getinge.com/de/news-und-events/neuigkeiten/gesundheitswesen/technologische-innovation-modulare-beatmungsgerate-in-der-intensivbeatmung/","/news-und-events/neuigkeiten/gesundheitswesen/technologische-innovation-modulare-beatmungsgerate-in-der-intensivbeatmung/")</f>
        <v>/news-und-events/neuigkeiten/gesundheitswesen/technologische-innovation-modulare-beatmungsgerate-in-der-intensivbeatmung/</v>
      </c>
    </row>
    <row r="367">
      <c r="A367" s="0">
        <v>366</v>
      </c>
      <c r="B367" t="str" s="3">
        <f>HYPERLINK("https://www.getinge.com/int/insights/updates/healthcare/technological-innovation-modular-ventilators-in-intensive-care/","/insights/updates/healthcare/technological-innovation-modular-ventilators-in-intensive-care/")</f>
        <v>/insights/updates/healthcare/technological-innovation-modular-ventilators-in-intensive-care/</v>
      </c>
      <c r="C367" t="inlineStr" s="2">
        <is>
          <t xml:space="preserve">As these patient groups often represent only a small proportion, investing in highly specialized devices that are used only occasionally can be a complex decision.</t>
        </is>
      </c>
      <c r="D367" s="2"/>
      <c r="F367" s="4"/>
      <c r="G367" t="inlineStr" s="2">
        <is>
          <t xml:space="preserve">Die Einführung von modularen Servo Beatmungsgeräten bietet signifikante Vorteile in Bezug auf die Senkung der Investitionskosten und die Optimierung der Arbeitsabläufe auf der Station.</t>
        </is>
      </c>
      <c r="H367" t="inlineStr" s="2">
        <is>
          <t xml:space="preserve">Die Modularität der Servo Beatmungsgeräte bedient die Interessen aller – vom Einkauf bis hin zum Beatmungsexperten. Sie kombiniert innovative Technologie, Kosteneffizienz und Benutzerfreundlichkeit.</t>
        </is>
      </c>
      <c r="I367" t="inlineStr" s="2">
        <is>
          <t xml:space="preserve">Servo Beatmungsgeräte sind damit auch ein Vorbild für die zukünftige Entwicklung medizintechnischer Geräte, die im Einklang mit den finanziellen, operativen und qualitativen Anforderungen des modernen Gesundheitswesens stehen.</t>
        </is>
      </c>
      <c r="J367" s="4"/>
      <c r="K367" s="2"/>
      <c r="L367" t="str" s="3">
        <f>HYPERLINK("https://www.getinge.com/de/news-und-events/neuigkeiten/gesundheitswesen/technologische-innovation-modulare-beatmungsgerate-in-der-intensivbeatmung/","/news-und-events/neuigkeiten/gesundheitswesen/technologische-innovation-modulare-beatmungsgerate-in-der-intensivbeatmung/")</f>
        <v>/news-und-events/neuigkeiten/gesundheitswesen/technologische-innovation-modulare-beatmungsgerate-in-der-intensivbeatmung/</v>
      </c>
    </row>
    <row r="368">
      <c r="A368" s="0">
        <v>367</v>
      </c>
      <c r="B368" t="str" s="3">
        <f>HYPERLINK("https://www.getinge.com/int/insights/updates/healthcare/technological-innovation-modular-ventilators-in-intensive-care/","/insights/updates/healthcare/technological-innovation-modular-ventilators-in-intensive-care/")</f>
        <v>/insights/updates/healthcare/technological-innovation-modular-ventilators-in-intensive-care/</v>
      </c>
      <c r="C368" t="inlineStr" s="2">
        <is>
          <t xml:space="preserve">Within this context, Getinge offers an approach designed to help balance clinical needs and economic considerations.</t>
        </is>
      </c>
      <c r="D368" t="inlineStr" s="2">
        <is>
          <t xml:space="preserve">In diesem Spannungsfeld stellt Getinge eine innovative Lösung bereit, die maximale Funktionalität und budgetäre Anforderungen miteinander vereint.</t>
        </is>
      </c>
      <c r="E368" t="inlineStr" s="0">
        <is>
          <t xml:space="preserve">Low</t>
        </is>
      </c>
      <c r="F368" s="4"/>
      <c r="G368" t="inlineStr" s="2">
        <is>
          <t xml:space="preserve">Die Hotplug-Fähigkeit dieser Module ermöglicht es, sie im laufenden Betrieb sicher und effizient zu wechseln.</t>
        </is>
      </c>
      <c r="H368" t="inlineStr" s="2">
        <is>
          <t xml:space="preserve">Die Einführung von modularen Servo Beatmungsgeräten bietet signifikante Vorteile in Bezug auf die Senkung der Investitionskosten und die Optimierung der Arbeitsabläufe auf der Station.</t>
        </is>
      </c>
      <c r="I368" t="inlineStr" s="2">
        <is>
          <t xml:space="preserve">Die Modularität der Servo Beatmungsgeräte bedient die Interessen aller – vom Einkauf bis hin zum Beatmungsexperten. Sie kombiniert innovative Technologie, Kosteneffizienz und Benutzerfreundlichkeit.</t>
        </is>
      </c>
      <c r="J368" s="4"/>
      <c r="K368" s="2"/>
      <c r="L368" t="str" s="3">
        <f>HYPERLINK("https://www.getinge.com/de/news-und-events/neuigkeiten/gesundheitswesen/technologische-innovation-modulare-beatmungsgerate-in-der-intensivbeatmung/","/news-und-events/neuigkeiten/gesundheitswesen/technologische-innovation-modulare-beatmungsgerate-in-der-intensivbeatmung/")</f>
        <v>/news-und-events/neuigkeiten/gesundheitswesen/technologische-innovation-modulare-beatmungsgerate-in-der-intensivbeatmung/</v>
      </c>
    </row>
    <row r="369">
      <c r="A369" s="0">
        <v>368</v>
      </c>
      <c r="B369" t="str" s="3">
        <f>HYPERLINK("https://www.getinge.com/int/insights/updates/healthcare/technological-innovation-modular-ventilators-in-intensive-care/","/insights/updates/healthcare/technological-innovation-modular-ventilators-in-intensive-care/")</f>
        <v>/insights/updates/healthcare/technological-innovation-modular-ventilators-in-intensive-care/</v>
      </c>
      <c r="C369" t="inlineStr" s="2">
        <is>
          <t xml:space="preserve">Modularity – From basic to advanced</t>
        </is>
      </c>
      <c r="D369" t="inlineStr" s="2">
        <is>
          <t xml:space="preserve">Modularität – Von Basic zu High-End</t>
        </is>
      </c>
      <c r="E369" t="inlineStr" s="0">
        <is>
          <t xml:space="preserve">High</t>
        </is>
      </c>
      <c r="F369" s="4"/>
      <c r="G369" t="inlineStr" s="2">
        <is>
          <t xml:space="preserve">Eine Win-Win-Lösung für alle Beteiligten</t>
        </is>
      </c>
      <c r="H369" t="inlineStr" s="2">
        <is>
          <t xml:space="preserve">Kostensenkung und Prozessoptimierung – Die Vorteile der Modularität</t>
        </is>
      </c>
      <c r="I369" t="inlineStr" s="2">
        <is>
          <t xml:space="preserve">Die Herausforderung – Maximale Funktionalität bei begrenztem Budget</t>
        </is>
      </c>
      <c r="J369" s="4"/>
      <c r="K369" s="2"/>
      <c r="L369" t="str" s="3">
        <f>HYPERLINK("https://www.getinge.com/de/news-und-events/neuigkeiten/gesundheitswesen/technologische-innovation-modulare-beatmungsgerate-in-der-intensivbeatmung/","/news-und-events/neuigkeiten/gesundheitswesen/technologische-innovation-modulare-beatmungsgerate-in-der-intensivbeatmung/")</f>
        <v>/news-und-events/neuigkeiten/gesundheitswesen/technologische-innovation-modulare-beatmungsgerate-in-der-intensivbeatmung/</v>
      </c>
    </row>
    <row r="370">
      <c r="A370" s="0">
        <v>369</v>
      </c>
      <c r="B370" t="str" s="3">
        <f>HYPERLINK("https://www.getinge.com/int/insights/updates/healthcare/technological-innovation-modular-ventilators-in-intensive-care/","/insights/updates/healthcare/technological-innovation-modular-ventilators-in-intensive-care/")</f>
        <v>/insights/updates/healthcare/technological-innovation-modular-ventilators-in-intensive-care/</v>
      </c>
      <c r="C370" t="inlineStr" s="2">
        <is>
          <t xml:space="preserve">Getinge Servo ventilators are designed with a modular approach. Systems can be configured as a base unit covering essential functions and expanded with additional modules to support more advanced therapies when needed.</t>
        </is>
      </c>
      <c r="D370" t="inlineStr" s="2">
        <is>
          <t xml:space="preserve">Die Servo Beatmungsgeräte von Getinge setzen hier einen neuen Maßstab. Die Geräte sind modular erweiterbar und können von einem Basisgerät, das alle grundlegenden Funktionen erfüllt, zu einem High-End-Gerät mit allen verfügbaren Sonderverfahren ‚on demand‘ aufgerüstet werden.</t>
        </is>
      </c>
      <c r="E370" t="inlineStr" s="0">
        <is>
          <t xml:space="preserve">Medium</t>
        </is>
      </c>
      <c r="F370" s="4"/>
      <c r="G370" t="inlineStr" s="2">
        <is>
          <t xml:space="preserve">Servo Beatmungsgeräte sind damit auch ein Vorbild für die zukünftige Entwicklung medizintechnischer Geräte, die im Einklang mit den finanziellen, operativen und qualitativen Anforderungen des modernen Gesundheitswesens stehen.</t>
        </is>
      </c>
      <c r="H370" t="inlineStr" s="2">
        <is>
          <t xml:space="preserve">Die Modularität der Servo Beatmungsgeräte bedient die Interessen aller – vom Einkauf bis hin zum Beatmungsexperten. Sie kombiniert innovative Technologie, Kosteneffizienz und Benutzerfreundlichkeit.</t>
        </is>
      </c>
      <c r="I370" t="inlineStr" s="2">
        <is>
          <t xml:space="preserve">Die Einführung von modularen Servo Beatmungsgeräten bietet signifikante Vorteile in Bezug auf die Senkung der Investitionskosten und die Optimierung der Arbeitsabläufe auf der Station.</t>
        </is>
      </c>
      <c r="J370" s="4"/>
      <c r="K370" s="2"/>
      <c r="L370" t="str" s="3">
        <f>HYPERLINK("https://www.getinge.com/de/news-und-events/neuigkeiten/gesundheitswesen/technologische-innovation-modulare-beatmungsgerate-in-der-intensivbeatmung/","/news-und-events/neuigkeiten/gesundheitswesen/technologische-innovation-modulare-beatmungsgerate-in-der-intensivbeatmung/")</f>
        <v>/news-und-events/neuigkeiten/gesundheitswesen/technologische-innovation-modulare-beatmungsgerate-in-der-intensivbeatmung/</v>
      </c>
    </row>
    <row r="371">
      <c r="A371" s="0">
        <v>370</v>
      </c>
      <c r="B371" t="str" s="3">
        <f>HYPERLINK("https://www.getinge.com/int/insights/updates/healthcare/technological-innovation-modular-ventilators-in-intensive-care/","/insights/updates/healthcare/technological-innovation-modular-ventilators-in-intensive-care/")</f>
        <v>/insights/updates/healthcare/technological-innovation-modular-ventilators-in-intensive-care/</v>
      </c>
      <c r="C371" t="inlineStr" s="2">
        <is>
          <t xml:space="preserve">Available modules include the Edi module for NAVA and the CO2 analyzer module for mainstream CO2 monitoring. Additional options include the Y sensor module that enables High Frequency Oscillation (HFO) for neonatal care and Transpulmonary pressure monitoring for Adult and pediatric patients. For situations requiring extended battery operation, additional battery modules can be added.</t>
        </is>
      </c>
      <c r="D371" t="inlineStr" s="2">
        <is>
          <t xml:space="preserve">Zu den verfügbaren Modulen gehören die Y-Sensormodule für die transpulmonale Druckmessung und das Edi-Modul für NAVA, eine Funktion, die im Markt einzigartig ist. Zudem sind Module für die Hauptstrom-CO2-Messung oder ein Modul für die Hochfrequenz-Oszillation für Frühgeborene erhältlich. Für Situationen, in denen eine erweiterte Batterielebensdauer erforderlich ist, können Module zur Verdreifachung der Batteriekapazität hinzugefügt werden.</t>
        </is>
      </c>
      <c r="E371" t="inlineStr" s="0">
        <is>
          <t xml:space="preserve">Medium</t>
        </is>
      </c>
      <c r="F371" s="4"/>
      <c r="G371" t="inlineStr" s="2">
        <is>
          <t xml:space="preserve">Die Balance zwischen fortschrittlicher Patientenversorgung und Budgetbeschränkungen ist eine konstante Herausforderung in der Intensivmedizin. Muss jedes Beatmungsgerät wirklich alle spezialisierten Funktionen bieten, oder gibt es einen effizienteren Ansatz? Getinge stellt mit den modularen Servo Beatmungsgeräten ein innovatives Konzept bereit, das maßgeschneiderte, bedarfsgerechte Lösungen ermöglicht, ohne unnötige Kosten für spezialisierte Geräte zu verursachen.</t>
        </is>
      </c>
      <c r="H371" t="inlineStr" s="2">
        <is>
          <t xml:space="preserve">Investitionskosten in neue Geräte senken: Mit der Möglichkeit, Module im laufenden Betrieb zu wechseln, benötigen Intensivstationen weniger spezialisierte Beatmungsgeräte. Dies führt direkt zu reduzierten Ausgaben, da die Anschaffung mehrerer, hochspezialisierter Geräte vermieden wird. Die Module können flexibel und je nach Bedarf ausgetauscht werden, was nicht nur kosteneffizient, sondern auch praktisch ist.</t>
        </is>
      </c>
      <c r="I371" t="inlineStr" s="2">
        <is>
          <t xml:space="preserve">Abläufe auf Station optimieren: Die Mobilität und Flexibilität der Module eliminieren den Bedarf, ganze Geräte zwischen den Stationen hin und her zu bewegen. Dies ist besonders vorteilhaft für Stationen mit fest installierten Geräten. Die Hotplug-Fähigkeit erlaubt das einfache Umstecken der Module im laufenden Betrieb, was Zeit spart, und die Effizienz erhöht. Zudem wird der Verbrauch von Schlauchsystemen durch das Vermeiden von umständlichen Auf- und Abrüstprozessen reduziert, was zusätzlich Kosten spart und den Arbeitsaufwand minimiert.</t>
        </is>
      </c>
      <c r="J371" s="4"/>
      <c r="K371" t="inlineStr" s="2">
        <is>
          <t xml:space="preserve">protected-token-mismatch: missing in target: HFO</t>
        </is>
      </c>
      <c r="L371" t="str" s="3">
        <f>HYPERLINK("https://www.getinge.com/de/news-und-events/neuigkeiten/gesundheitswesen/technologische-innovation-modulare-beatmungsgerate-in-der-intensivbeatmung/","/news-und-events/neuigkeiten/gesundheitswesen/technologische-innovation-modulare-beatmungsgerate-in-der-intensivbeatmung/")</f>
        <v>/news-und-events/neuigkeiten/gesundheitswesen/technologische-innovation-modulare-beatmungsgerate-in-der-intensivbeatmung/</v>
      </c>
    </row>
    <row r="372">
      <c r="A372" s="0">
        <v>371</v>
      </c>
      <c r="B372" t="str" s="3">
        <f>HYPERLINK("https://www.getinge.com/int/insights/updates/healthcare/technological-innovation-modular-ventilators-in-intensive-care/","/insights/updates/healthcare/technological-innovation-modular-ventilators-in-intensive-care/")</f>
        <v>/insights/updates/healthcare/technological-innovation-modular-ventilators-in-intensive-care/</v>
      </c>
      <c r="C372" t="inlineStr" s="2">
        <is>
          <t xml:space="preserve">The ability to exchange modules during operation supports flexible use across different clinical scenarios.</t>
        </is>
      </c>
      <c r="D372" t="inlineStr" s="2">
        <is>
          <t xml:space="preserve">Die Hotplug-Fähigkeit dieser Module ermöglicht es, sie im laufenden Betrieb sicher und effizient zu wechseln.</t>
        </is>
      </c>
      <c r="E372" t="inlineStr" s="0">
        <is>
          <t xml:space="preserve">Low</t>
        </is>
      </c>
      <c r="F372" s="4"/>
      <c r="G372" t="inlineStr" s="2">
        <is>
          <t xml:space="preserve">In diesem Spannungsfeld stellt Getinge eine innovative Lösung bereit, die maximale Funktionalität und budgetäre Anforderungen miteinander vereint.</t>
        </is>
      </c>
      <c r="H372" t="inlineStr" s="2">
        <is>
          <t xml:space="preserve">Die Einführung von modularen Servo Beatmungsgeräten bietet signifikante Vorteile in Bezug auf die Senkung der Investitionskosten und die Optimierung der Arbeitsabläufe auf der Station.</t>
        </is>
      </c>
      <c r="I372" t="inlineStr" s="2">
        <is>
          <t xml:space="preserve">Die Modularität der Servo Beatmungsgeräte bedient die Interessen aller – vom Einkauf bis hin zum Beatmungsexperten. Sie kombiniert innovative Technologie, Kosteneffizienz und Benutzerfreundlichkeit.</t>
        </is>
      </c>
      <c r="J372" s="4"/>
      <c r="K372" s="2"/>
      <c r="L372" t="str" s="3">
        <f>HYPERLINK("https://www.getinge.com/de/news-und-events/neuigkeiten/gesundheitswesen/technologische-innovation-modulare-beatmungsgerate-in-der-intensivbeatmung/","/news-und-events/neuigkeiten/gesundheitswesen/technologische-innovation-modulare-beatmungsgerate-in-der-intensivbeatmung/")</f>
        <v>/news-und-events/neuigkeiten/gesundheitswesen/technologische-innovation-modulare-beatmungsgerate-in-der-intensivbeatmung/</v>
      </c>
    </row>
    <row r="373">
      <c r="A373" s="0">
        <v>372</v>
      </c>
      <c r="B373" t="str" s="3">
        <f>HYPERLINK("https://www.getinge.com/int/insights/updates/healthcare/technological-innovation-modular-ventilators-in-intensive-care/","/insights/updates/healthcare/technological-innovation-modular-ventilators-in-intensive-care/")</f>
        <v>/insights/updates/healthcare/technological-innovation-modular-ventilators-in-intensive-care/</v>
      </c>
      <c r="C373" t="inlineStr" s="2">
        <is>
          <t xml:space="preserve">Cost efficiency and workflow optimization – The benefits of modularity</t>
        </is>
      </c>
      <c r="D373" t="inlineStr" s="2">
        <is>
          <t xml:space="preserve">Kostensenkung und Prozessoptimierung – Die Vorteile der Modularität</t>
        </is>
      </c>
      <c r="E373" t="inlineStr" s="0">
        <is>
          <t xml:space="preserve">Medium</t>
        </is>
      </c>
      <c r="F373" s="4"/>
      <c r="G373" t="inlineStr" s="2">
        <is>
          <t xml:space="preserve">Die Hotplug-Fähigkeit dieser Module ermöglicht es, sie im laufenden Betrieb sicher und effizient zu wechseln.</t>
        </is>
      </c>
      <c r="H373" t="inlineStr" s="2">
        <is>
          <t xml:space="preserve">Die Erfahrungen der pädiatrischen ITS des Universitätsklinikums Köln</t>
        </is>
      </c>
      <c r="I373" t="inlineStr" s="2">
        <is>
          <t xml:space="preserve">Die Herausforderung – Maximale Funktionalität bei begrenztem Budget</t>
        </is>
      </c>
      <c r="J373" s="4"/>
      <c r="K373" s="2"/>
      <c r="L373" t="str" s="3">
        <f>HYPERLINK("https://www.getinge.com/de/news-und-events/neuigkeiten/gesundheitswesen/technologische-innovation-modulare-beatmungsgerate-in-der-intensivbeatmung/","/news-und-events/neuigkeiten/gesundheitswesen/technologische-innovation-modulare-beatmungsgerate-in-der-intensivbeatmung/")</f>
        <v>/news-und-events/neuigkeiten/gesundheitswesen/technologische-innovation-modulare-beatmungsgerate-in-der-intensivbeatmung/</v>
      </c>
    </row>
    <row r="374">
      <c r="A374" s="0">
        <v>373</v>
      </c>
      <c r="B374" t="str" s="3">
        <f>HYPERLINK("https://www.getinge.com/int/insights/updates/healthcare/technological-innovation-modular-ventilators-in-intensive-care/","/insights/updates/healthcare/technological-innovation-modular-ventilators-in-intensive-care/")</f>
        <v>/insights/updates/healthcare/technological-innovation-modular-ventilators-in-intensive-care/</v>
      </c>
      <c r="C374" t="inlineStr" s="2">
        <is>
          <t xml:space="preserve">Introducing modular Servo ventilators can support both cost efficiency and workflow optimization in intensive care settings.</t>
        </is>
      </c>
      <c r="D374" t="inlineStr" s="2">
        <is>
          <t xml:space="preserve">Die Einführung von modularen Servo Beatmungsgeräten bietet signifikante Vorteile in Bezug auf die Senkung der Investitionskosten und die Optimierung der Arbeitsabläufe auf der Station.</t>
        </is>
      </c>
      <c r="E374" t="inlineStr" s="0">
        <is>
          <t xml:space="preserve">Low</t>
        </is>
      </c>
      <c r="F374" s="4"/>
      <c r="G374" t="inlineStr" s="2">
        <is>
          <t xml:space="preserve">Die Modularität der Servo Beatmungsgeräte bedient die Interessen aller – vom Einkauf bis hin zum Beatmungsexperten. Sie kombiniert innovative Technologie, Kosteneffizienz und Benutzerfreundlichkeit.</t>
        </is>
      </c>
      <c r="H374" t="inlineStr" s="2">
        <is>
          <t xml:space="preserve">Die Hotplug-Fähigkeit dieser Module ermöglicht es, sie im laufenden Betrieb sicher und effizient zu wechseln.</t>
        </is>
      </c>
      <c r="I374" t="inlineStr" s="2">
        <is>
          <t xml:space="preserve">In diesem Spannungsfeld stellt Getinge eine innovative Lösung bereit, die maximale Funktionalität und budgetäre Anforderungen miteinander vereint.</t>
        </is>
      </c>
      <c r="J374" s="4"/>
      <c r="K374" s="2"/>
      <c r="L374" t="str" s="3">
        <f>HYPERLINK("https://www.getinge.com/de/news-und-events/neuigkeiten/gesundheitswesen/technologische-innovation-modulare-beatmungsgerate-in-der-intensivbeatmung/","/news-und-events/neuigkeiten/gesundheitswesen/technologische-innovation-modulare-beatmungsgerate-in-der-intensivbeatmung/")</f>
        <v>/news-und-events/neuigkeiten/gesundheitswesen/technologische-innovation-modulare-beatmungsgerate-in-der-intensivbeatmung/</v>
      </c>
    </row>
    <row r="375">
      <c r="A375" s="0">
        <v>374</v>
      </c>
      <c r="B375" t="str" s="3">
        <f>HYPERLINK("https://www.getinge.com/int/insights/updates/healthcare/technological-innovation-modular-ventilators-in-intensive-care/","/insights/updates/healthcare/technological-innovation-modular-ventilators-in-intensive-care/")</f>
        <v>/insights/updates/healthcare/technological-innovation-modular-ventilators-in-intensive-care/</v>
      </c>
      <c r="C375" t="inlineStr" s="2">
        <is>
          <t xml:space="preserve">Supporting more flexible investment decisions: By enabling modules to be used across multiple devices, the need for fully equipped specialized ventilators for every bed can be reduced. Modules can be allocated based on patient needs, supporting a more flexible and potentially cost-efficient use of resources.</t>
        </is>
      </c>
      <c r="D375" t="inlineStr" s="2">
        <is>
          <t xml:space="preserve">Investitionskosten in neue Geräte senken: Mit der Möglichkeit, Module im laufenden Betrieb zu wechseln, benötigen Intensivstationen weniger spezialisierte Beatmungsgeräte. Dies führt direkt zu reduzierten Ausgaben, da die Anschaffung mehrerer, hochspezialisierter Geräte vermieden wird. Die Module können flexibel und je nach Bedarf ausgetauscht werden, was nicht nur kosteneffizient, sondern auch praktisch ist.</t>
        </is>
      </c>
      <c r="E375" t="inlineStr" s="0">
        <is>
          <t xml:space="preserve">Medium</t>
        </is>
      </c>
      <c r="F375" s="4"/>
      <c r="G375" t="inlineStr" s="2">
        <is>
          <t xml:space="preserve">Medizinische Einrichtungen stehen oft vor der Herausforderung, mit limitierten Budgets eine maximale Funktionalität ihrer Beatmungsgeräte zu erzielen. Jede Investition in neue Geräte ist kostenintensiv und muss wohlüberlegt sein, insbesondere vor dem Hintergrund des anhaltenden Kostendrucks im Gesundheitswesen.</t>
        </is>
      </c>
      <c r="H375" t="inlineStr" s="2">
        <is>
          <t xml:space="preserve">Die Balance zwischen fortschrittlicher Patientenversorgung und Budgetbeschränkungen ist eine konstante Herausforderung in der Intensivmedizin. Muss jedes Beatmungsgerät wirklich alle spezialisierten Funktionen bieten, oder gibt es einen effizienteren Ansatz? Getinge stellt mit den modularen Servo Beatmungsgeräten ein innovatives Konzept bereit, das maßgeschneiderte, bedarfsgerechte Lösungen ermöglicht, ohne unnötige Kosten für spezialisierte Geräte zu verursachen.</t>
        </is>
      </c>
      <c r="I375" t="inlineStr" s="2">
        <is>
          <t xml:space="preserve">Die Servo Beatmungsgeräte von Getinge setzen hier einen neuen Maßstab. Die Geräte sind modular erweiterbar und können von einem Basisgerät, das alle grundlegenden Funktionen erfüllt, zu einem High-End-Gerät mit allen verfügbaren Sonderverfahren ‚on demand‘ aufgerüstet werden.</t>
        </is>
      </c>
      <c r="J375" s="4"/>
      <c r="K375" s="2"/>
      <c r="L375" t="str" s="3">
        <f>HYPERLINK("https://www.getinge.com/de/news-und-events/neuigkeiten/gesundheitswesen/technologische-innovation-modulare-beatmungsgerate-in-der-intensivbeatmung/","/news-und-events/neuigkeiten/gesundheitswesen/technologische-innovation-modulare-beatmungsgerate-in-der-intensivbeatmung/")</f>
        <v>/news-und-events/neuigkeiten/gesundheitswesen/technologische-innovation-modulare-beatmungsgerate-in-der-intensivbeatmung/</v>
      </c>
    </row>
    <row r="376">
      <c r="A376" s="0">
        <v>375</v>
      </c>
      <c r="B376" t="str" s="3">
        <f>HYPERLINK("https://www.getinge.com/int/insights/updates/healthcare/technological-innovation-modular-ventilators-in-intensive-care/","/insights/updates/healthcare/technological-innovation-modular-ventilators-in-intensive-care/")</f>
        <v>/insights/updates/healthcare/technological-innovation-modular-ventilators-in-intensive-care/</v>
      </c>
      <c r="C376" t="inlineStr" s="2">
        <is>
          <t xml:space="preserve">Optimizing workflows in the ICU: The modular concept can reduce the need to move entire ventilators between rooms or units. This is particularly relevant in environments with fixed installations. Modules can be exchanged as needed, which may help save time and simplify workflows. In addition, reducing repeated setup and dismantling processes may also help lower the consumption of disposables and reduce workload.</t>
        </is>
      </c>
      <c r="D376" t="inlineStr" s="2">
        <is>
          <t xml:space="preserve">Abläufe auf Station optimieren: Die Mobilität und Flexibilität der Module eliminieren den Bedarf, ganze Geräte zwischen den Stationen hin und her zu bewegen. Dies ist besonders vorteilhaft für Stationen mit fest installierten Geräten. Die Hotplug-Fähigkeit erlaubt das einfache Umstecken der Module im laufenden Betrieb, was Zeit spart, und die Effizienz erhöht. Zudem wird der Verbrauch von Schlauchsystemen durch das Vermeiden von umständlichen Auf- und Abrüstprozessen reduziert, was zusätzlich Kosten spart und den Arbeitsaufwand minimiert.</t>
        </is>
      </c>
      <c r="E376" t="inlineStr" s="0">
        <is>
          <t xml:space="preserve">Low</t>
        </is>
      </c>
      <c r="F376" s="4"/>
      <c r="G376" t="inlineStr" s="2">
        <is>
          <t xml:space="preserve">Die Balance zwischen fortschrittlicher Patientenversorgung und Budgetbeschränkungen ist eine konstante Herausforderung in der Intensivmedizin. Muss jedes Beatmungsgerät wirklich alle spezialisierten Funktionen bieten, oder gibt es einen effizienteren Ansatz? Getinge stellt mit den modularen Servo Beatmungsgeräten ein innovatives Konzept bereit, das maßgeschneiderte, bedarfsgerechte Lösungen ermöglicht, ohne unnötige Kosten für spezialisierte Geräte zu verursachen.</t>
        </is>
      </c>
      <c r="H376" t="inlineStr" s="2">
        <is>
          <t xml:space="preserve">Zu den verfügbaren Modulen gehören die Y-Sensormodule für die transpulmonale Druckmessung und das Edi-Modul für NAVA, eine Funktion, die im Markt einzigartig ist. Zudem sind Module für die Hauptstrom-CO2-Messung oder ein Modul für die Hochfrequenz-Oszillation für Frühgeborene erhältlich. Für Situationen, in denen eine erweiterte Batterielebensdauer erforderlich ist, können Module zur Verdreifachung der Batteriekapazität hinzugefügt werden.</t>
        </is>
      </c>
      <c r="I376" t="inlineStr" s="2">
        <is>
          <t xml:space="preserve">Investitionskosten in neue Geräte senken: Mit der Möglichkeit, Module im laufenden Betrieb zu wechseln, benötigen Intensivstationen weniger spezialisierte Beatmungsgeräte. Dies führt direkt zu reduzierten Ausgaben, da die Anschaffung mehrerer, hochspezialisierter Geräte vermieden wird. Die Module können flexibel und je nach Bedarf ausgetauscht werden, was nicht nur kosteneffizient, sondern auch praktisch ist.</t>
        </is>
      </c>
      <c r="J376" s="4"/>
      <c r="K376" s="2"/>
      <c r="L376" t="str" s="3">
        <f>HYPERLINK("https://www.getinge.com/de/news-und-events/neuigkeiten/gesundheitswesen/technologische-innovation-modulare-beatmungsgerate-in-der-intensivbeatmung/","/news-und-events/neuigkeiten/gesundheitswesen/technologische-innovation-modulare-beatmungsgerate-in-der-intensivbeatmung/")</f>
        <v>/news-und-events/neuigkeiten/gesundheitswesen/technologische-innovation-modulare-beatmungsgerate-in-der-intensivbeatmung/</v>
      </c>
    </row>
    <row r="377">
      <c r="A377" s="0">
        <v>376</v>
      </c>
      <c r="B377" t="str" s="3">
        <f>HYPERLINK("https://www.getinge.com/int/insights/updates/healthcare/technological-innovation-modular-ventilators-in-intensive-care/","/insights/updates/healthcare/technological-innovation-modular-ventilators-in-intensive-care/")</f>
        <v>/insights/updates/healthcare/technological-innovation-modular-ventilators-in-intensive-care/</v>
      </c>
      <c r="C377" t="inlineStr" s="2">
        <is>
          <t xml:space="preserve">Experience from the pediatric ICU at the University Hospital Cologne</t>
        </is>
      </c>
      <c r="D377" t="inlineStr" s="2">
        <is>
          <t xml:space="preserve">Die Erfahrungen der pädiatrischen ITS des Universitätsklinikums Köln</t>
        </is>
      </c>
      <c r="E377" t="inlineStr" s="0">
        <is>
          <t xml:space="preserve">Medium</t>
        </is>
      </c>
      <c r="F377" s="4"/>
      <c r="G377" t="inlineStr" s="2">
        <is>
          <t xml:space="preserve">Die Herausforderung – Maximale Funktionalität bei begrenztem Budget</t>
        </is>
      </c>
      <c r="H377" t="inlineStr" s="2">
        <is>
          <t xml:space="preserve">Kostensenkung und Prozessoptimierung – Die Vorteile der Modularität</t>
        </is>
      </c>
      <c r="I377" t="inlineStr" s="2">
        <is>
          <t xml:space="preserve">Die Hotplug-Fähigkeit dieser Module ermöglicht es, sie im laufenden Betrieb sicher und effizient zu wechseln.</t>
        </is>
      </c>
      <c r="J377" s="4"/>
      <c r="K377" s="2"/>
      <c r="L377" t="str" s="3">
        <f>HYPERLINK("https://www.getinge.com/de/news-und-events/neuigkeiten/gesundheitswesen/technologische-innovation-modulare-beatmungsgerate-in-der-intensivbeatmung/","/news-und-events/neuigkeiten/gesundheitswesen/technologische-innovation-modulare-beatmungsgerate-in-der-intensivbeatmung/")</f>
        <v>/news-und-events/neuigkeiten/gesundheitswesen/technologische-innovation-modulare-beatmungsgerate-in-der-intensivbeatmung/</v>
      </c>
    </row>
    <row r="378">
      <c r="A378" s="0">
        <v>377</v>
      </c>
      <c r="B378" t="str" s="3">
        <f>HYPERLINK("https://www.getinge.com/int/insights/updates/healthcare/technological-innovation-modular-ventilators-in-intensive-care/","/insights/updates/healthcare/technological-innovation-modular-ventilators-in-intensive-care/")</f>
        <v>/insights/updates/healthcare/technological-innovation-modular-ventilators-in-intensive-care/</v>
      </c>
      <c r="C378" t="inlineStr" s="2">
        <is>
          <t xml:space="preserve">In the pediatric intensive care unit at the University Hospital Cologne, which has nine ventilated beds, nine Servo-u ventilators were implemented, each equipped with essential core functions to meet the needs of most patients. In addition, 2–4 Edi modules and 2–4 Y sensor modules are available and can be flexibly shared between devices.</t>
        </is>
      </c>
      <c r="D378" t="inlineStr" s="2">
        <is>
          <t xml:space="preserve">In der pädiatrischen Intensivstation des Universitätsklinikums Köln mit 9 Beatmungsbetten wurden 9 Servo-u-Beatmungsgeräte implementiert, die mit allen Grundfunktionen ausgestattet sind, um die Bedürfnisse der Mehrheit der Patient*innen abzudecken. Die Strategie umfasste auch die Anschaffung von 2-4 Edi-Modulen und 2-4 Y-Sensormodulen, die flexibel zwischen den Geräten ausgetauscht werden können.</t>
        </is>
      </c>
      <c r="E378" t="inlineStr" s="0">
        <is>
          <t xml:space="preserve">High</t>
        </is>
      </c>
      <c r="F378" s="4"/>
      <c r="G378" t="inlineStr" s="2">
        <is>
          <t xml:space="preserve">Investitionskosten in neue Geräte senken: Mit der Möglichkeit, Module im laufenden Betrieb zu wechseln, benötigen Intensivstationen weniger spezialisierte Beatmungsgeräte. Dies führt direkt zu reduzierten Ausgaben, da die Anschaffung mehrerer, hochspezialisierter Geräte vermieden wird. Die Module können flexibel und je nach Bedarf ausgetauscht werden, was nicht nur kosteneffizient, sondern auch praktisch ist.</t>
        </is>
      </c>
      <c r="H378" t="inlineStr" s="2">
        <is>
          <t xml:space="preserve">Zu den verfügbaren Modulen gehören die Y-Sensormodule für die transpulmonale Druckmessung und das Edi-Modul für NAVA, eine Funktion, die im Markt einzigartig ist. Zudem sind Module für die Hauptstrom-CO2-Messung oder ein Modul für die Hochfrequenz-Oszillation für Frühgeborene erhältlich. Für Situationen, in denen eine erweiterte Batterielebensdauer erforderlich ist, können Module zur Verdreifachung der Batteriekapazität hinzugefügt werden.</t>
        </is>
      </c>
      <c r="I378" t="inlineStr" s="2">
        <is>
          <t xml:space="preserve">Die Balance zwischen fortschrittlicher Patientenversorgung und Budgetbeschränkungen ist eine konstante Herausforderung in der Intensivmedizin. Muss jedes Beatmungsgerät wirklich alle spezialisierten Funktionen bieten, oder gibt es einen effizienteren Ansatz? Getinge stellt mit den modularen Servo Beatmungsgeräten ein innovatives Konzept bereit, das maßgeschneiderte, bedarfsgerechte Lösungen ermöglicht, ohne unnötige Kosten für spezialisierte Geräte zu verursachen.</t>
        </is>
      </c>
      <c r="J378" s="4"/>
      <c r="K378" s="2"/>
      <c r="L378" t="str" s="3">
        <f>HYPERLINK("https://www.getinge.com/de/news-und-events/neuigkeiten/gesundheitswesen/technologische-innovation-modulare-beatmungsgerate-in-der-intensivbeatmung/","/news-und-events/neuigkeiten/gesundheitswesen/technologische-innovation-modulare-beatmungsgerate-in-der-intensivbeatmung/")</f>
        <v>/news-und-events/neuigkeiten/gesundheitswesen/technologische-innovation-modulare-beatmungsgerate-in-der-intensivbeatmung/</v>
      </c>
    </row>
    <row r="379">
      <c r="A379" s="0">
        <v>378</v>
      </c>
      <c r="B379" t="str" s="3">
        <f>HYPERLINK("https://www.getinge.com/int/insights/updates/healthcare/technological-innovation-modular-ventilators-in-intensive-care/","/insights/updates/healthcare/technological-innovation-modular-ventilators-in-intensive-care/")</f>
        <v>/insights/updates/healthcare/technological-innovation-modular-ventilators-in-intensive-care/</v>
      </c>
      <c r="C379" t="inlineStr" s="2">
        <is>
          <t xml:space="preserve">Team lead Mareike Brandt highlights the benefits of this approach for individualized patient care without requiring fully equipped ventilators at every bed:</t>
        </is>
      </c>
      <c r="D379" s="2"/>
      <c r="F379" s="4"/>
      <c r="G379" t="inlineStr" s="2">
        <is>
          <t xml:space="preserve">Die Einführung von modularen Servo Beatmungsgeräten bietet signifikante Vorteile in Bezug auf die Senkung der Investitionskosten und die Optimierung der Arbeitsabläufe auf der Station.</t>
        </is>
      </c>
      <c r="H379" t="inlineStr" s="2">
        <is>
          <t xml:space="preserve">Die Modularität der Servo Beatmungsgeräte bedient die Interessen aller – vom Einkauf bis hin zum Beatmungsexperten. Sie kombiniert innovative Technologie, Kosteneffizienz und Benutzerfreundlichkeit.</t>
        </is>
      </c>
      <c r="I379" t="inlineStr" s="2">
        <is>
          <t xml:space="preserve">In diesem Spannungsfeld stellt Getinge eine innovative Lösung bereit, die maximale Funktionalität und budgetäre Anforderungen miteinander vereint.</t>
        </is>
      </c>
      <c r="J379" s="4"/>
      <c r="K379" s="2"/>
      <c r="L379" t="str" s="3">
        <f>HYPERLINK("https://www.getinge.com/de/news-und-events/neuigkeiten/gesundheitswesen/technologische-innovation-modulare-beatmungsgerate-in-der-intensivbeatmung/","/news-und-events/neuigkeiten/gesundheitswesen/technologische-innovation-modulare-beatmungsgerate-in-der-intensivbeatmung/")</f>
        <v>/news-und-events/neuigkeiten/gesundheitswesen/technologische-innovation-modulare-beatmungsgerate-in-der-intensivbeatmung/</v>
      </c>
    </row>
    <row r="380">
      <c r="A380" s="0">
        <v>379</v>
      </c>
      <c r="B380" t="str" s="3">
        <f>HYPERLINK("https://www.getinge.com/int/insights/updates/healthcare/technological-innovation-modular-ventilators-in-intensive-care/","/insights/updates/healthcare/technological-innovation-modular-ventilators-in-intensive-care/")</f>
        <v>/insights/updates/healthcare/technological-innovation-modular-ventilators-in-intensive-care/</v>
      </c>
      <c r="C380" t="inlineStr" s="2">
        <is>
          <t xml:space="preserve">"One advantage of the modular approach is that we do not need to replace the entire ventilator when a patient requires NAVA. The module can simply be transferred from one device to another during ongoing ventilation. This not only saves time but can also help reduce the use of disposables."</t>
        </is>
      </c>
      <c r="D380" s="2"/>
      <c r="F380" s="4"/>
      <c r="G380" t="inlineStr" s="2">
        <is>
          <t xml:space="preserve">Medizinische Einrichtungen stehen oft vor der Herausforderung, mit limitierten Budgets eine maximale Funktionalität ihrer Beatmungsgeräte zu erzielen. Jede Investition in neue Geräte ist kostenintensiv und muss wohlüberlegt sein, insbesondere vor dem Hintergrund des anhaltenden Kostendrucks im Gesundheitswesen.</t>
        </is>
      </c>
      <c r="H380" t="inlineStr" s="2">
        <is>
          <t xml:space="preserve">Die Servo Beatmungsgeräte von Getinge setzen hier einen neuen Maßstab. Die Geräte sind modular erweiterbar und können von einem Basisgerät, das alle grundlegenden Funktionen erfüllt, zu einem High-End-Gerät mit allen verfügbaren Sonderverfahren ‚on demand‘ aufgerüstet werden.</t>
        </is>
      </c>
      <c r="I380" t="inlineStr" s="2">
        <is>
          <t xml:space="preserve">Investitionskosten in neue Geräte senken: Mit der Möglichkeit, Module im laufenden Betrieb zu wechseln, benötigen Intensivstationen weniger spezialisierte Beatmungsgeräte. Dies führt direkt zu reduzierten Ausgaben, da die Anschaffung mehrerer, hochspezialisierter Geräte vermieden wird. Die Module können flexibel und je nach Bedarf ausgetauscht werden, was nicht nur kosteneffizient, sondern auch praktisch ist.</t>
        </is>
      </c>
      <c r="J380" s="4"/>
      <c r="K380" s="2"/>
      <c r="L380" t="str" s="3">
        <f>HYPERLINK("https://www.getinge.com/de/news-und-events/neuigkeiten/gesundheitswesen/technologische-innovation-modulare-beatmungsgerate-in-der-intensivbeatmung/","/news-und-events/neuigkeiten/gesundheitswesen/technologische-innovation-modulare-beatmungsgerate-in-der-intensivbeatmung/")</f>
        <v>/news-und-events/neuigkeiten/gesundheitswesen/technologische-innovation-modulare-beatmungsgerate-in-der-intensivbeatmung/</v>
      </c>
    </row>
    <row r="381">
      <c r="A381" s="0">
        <v>380</v>
      </c>
      <c r="B381" t="str" s="3">
        <f>HYPERLINK("https://www.getinge.com/int/insights/updates/healthcare/technological-innovation-modular-ventilators-in-intensive-care/","/insights/updates/healthcare/technological-innovation-modular-ventilators-in-intensive-care/")</f>
        <v>/insights/updates/healthcare/technological-innovation-modular-ventilators-in-intensive-care/</v>
      </c>
      <c r="C381" t="inlineStr" s="2">
        <is>
          <t xml:space="preserve">A balanced approach for different stakeholders</t>
        </is>
      </c>
      <c r="D381" s="2"/>
      <c r="F381" s="4"/>
      <c r="G381" t="inlineStr" s="2">
        <is>
          <t xml:space="preserve">Die Herausforderung – Maximale Funktionalität bei begrenztem Budget</t>
        </is>
      </c>
      <c r="H381" t="inlineStr" s="2">
        <is>
          <t xml:space="preserve">Kostensenkung und Prozessoptimierung – Die Vorteile der Modularität</t>
        </is>
      </c>
      <c r="I381" t="inlineStr" s="2">
        <is>
          <t xml:space="preserve">Die Erfahrungen der pädiatrischen ITS des Universitätsklinikums Köln</t>
        </is>
      </c>
      <c r="J381" s="4"/>
      <c r="K381" s="2"/>
      <c r="L381" t="str" s="3">
        <f>HYPERLINK("https://www.getinge.com/de/news-und-events/neuigkeiten/gesundheitswesen/technologische-innovation-modulare-beatmungsgerate-in-der-intensivbeatmung/","/news-und-events/neuigkeiten/gesundheitswesen/technologische-innovation-modulare-beatmungsgerate-in-der-intensivbeatmung/")</f>
        <v>/news-und-events/neuigkeiten/gesundheitswesen/technologische-innovation-modulare-beatmungsgerate-in-der-intensivbeatmung/</v>
      </c>
    </row>
    <row r="382">
      <c r="A382" s="0">
        <v>381</v>
      </c>
      <c r="B382" t="str" s="3">
        <f>HYPERLINK("https://www.getinge.com/int/insights/updates/healthcare/technological-innovation-modular-ventilators-in-intensive-care/","/insights/updates/healthcare/technological-innovation-modular-ventilators-in-intensive-care/")</f>
        <v>/insights/updates/healthcare/technological-innovation-modular-ventilators-in-intensive-care/</v>
      </c>
      <c r="C382" t="inlineStr" s="2">
        <is>
          <t xml:space="preserve">The modular concept of Servo ventilators addresses the needs of different stakeholders — from procurement teams to clinical specialists — by combining flexibility, usability, and the ability to adapt to varying clinical requirements.</t>
        </is>
      </c>
      <c r="D382" t="inlineStr" s="2">
        <is>
          <t xml:space="preserve">Die Modularität der Servo Beatmungsgeräte bedient die Interessen aller – vom Einkauf bis hin zum Beatmungsexperten. Sie kombiniert innovative Technologie, Kosteneffizienz und Benutzerfreundlichkeit.</t>
        </is>
      </c>
      <c r="E382" t="inlineStr" s="0">
        <is>
          <t xml:space="preserve">Low</t>
        </is>
      </c>
      <c r="F382" s="4"/>
      <c r="G382" t="inlineStr" s="2">
        <is>
          <t xml:space="preserve">Die Servo Beatmungsgeräte von Getinge setzen hier einen neuen Maßstab. Die Geräte sind modular erweiterbar und können von einem Basisgerät, das alle grundlegenden Funktionen erfüllt, zu einem High-End-Gerät mit allen verfügbaren Sonderverfahren ‚on demand‘ aufgerüstet werden.</t>
        </is>
      </c>
      <c r="H382" t="inlineStr" s="2">
        <is>
          <t xml:space="preserve">Servo Beatmungsgeräte sind damit auch ein Vorbild für die zukünftige Entwicklung medizintechnischer Geräte, die im Einklang mit den finanziellen, operativen und qualitativen Anforderungen des modernen Gesundheitswesens stehen.</t>
        </is>
      </c>
      <c r="I382" t="inlineStr" s="2">
        <is>
          <t xml:space="preserve">Medizinische Einrichtungen stehen oft vor der Herausforderung, mit limitierten Budgets eine maximale Funktionalität ihrer Beatmungsgeräte zu erzielen. Jede Investition in neue Geräte ist kostenintensiv und muss wohlüberlegt sein, insbesondere vor dem Hintergrund des anhaltenden Kostendrucks im Gesundheitswesen.</t>
        </is>
      </c>
      <c r="J382" s="4"/>
      <c r="K382" s="2"/>
      <c r="L382" t="str" s="3">
        <f>HYPERLINK("https://www.getinge.com/de/news-und-events/neuigkeiten/gesundheitswesen/technologische-innovation-modulare-beatmungsgerate-in-der-intensivbeatmung/","/news-und-events/neuigkeiten/gesundheitswesen/technologische-innovation-modulare-beatmungsgerate-in-der-intensivbeatmung/")</f>
        <v>/news-und-events/neuigkeiten/gesundheitswesen/technologische-innovation-modulare-beatmungsgerate-in-der-intensivbeatmung/</v>
      </c>
    </row>
    <row r="383">
      <c r="A383" s="0">
        <v>382</v>
      </c>
      <c r="B383" t="str" s="3">
        <f>HYPERLINK("https://www.getinge.com/int/insights/updates/healthcare/technological-innovation-modular-ventilators-in-intensive-care/","/insights/updates/healthcare/technological-innovation-modular-ventilators-in-intensive-care/")</f>
        <v>/insights/updates/healthcare/technological-innovation-modular-ventilators-in-intensive-care/</v>
      </c>
      <c r="C383" t="inlineStr" s="2">
        <is>
          <t xml:space="preserve">It also reflects a broader direction in medical technology development: solutions that support alignment between clinical performance, operational efficiency, and financial sustainability in modern healthcare systems.</t>
        </is>
      </c>
      <c r="D383" t="inlineStr" s="2">
        <is>
          <t xml:space="preserve">Servo Beatmungsgeräte sind damit auch ein Vorbild für die zukünftige Entwicklung medizintechnischer Geräte, die im Einklang mit den finanziellen, operativen und qualitativen Anforderungen des modernen Gesundheitswesens stehen.</t>
        </is>
      </c>
      <c r="E383" t="inlineStr" s="0">
        <is>
          <t xml:space="preserve">Medium</t>
        </is>
      </c>
      <c r="F383" s="4"/>
      <c r="G383" t="inlineStr" s="2">
        <is>
          <t xml:space="preserve">Die Servo Beatmungsgeräte von Getinge setzen hier einen neuen Maßstab. Die Geräte sind modular erweiterbar und können von einem Basisgerät, das alle grundlegenden Funktionen erfüllt, zu einem High-End-Gerät mit allen verfügbaren Sonderverfahren ‚on demand‘ aufgerüstet werden.</t>
        </is>
      </c>
      <c r="H383" t="inlineStr" s="2">
        <is>
          <t xml:space="preserve">Die Modularität der Servo Beatmungsgeräte bedient die Interessen aller – vom Einkauf bis hin zum Beatmungsexperten. Sie kombiniert innovative Technologie, Kosteneffizienz und Benutzerfreundlichkeit.</t>
        </is>
      </c>
      <c r="I383" t="inlineStr" s="2">
        <is>
          <t xml:space="preserve">Medizinische Einrichtungen stehen oft vor der Herausforderung, mit limitierten Budgets eine maximale Funktionalität ihrer Beatmungsgeräte zu erzielen. Jede Investition in neue Geräte ist kostenintensiv und muss wohlüberlegt sein, insbesondere vor dem Hintergrund des anhaltenden Kostendrucks im Gesundheitswesen.</t>
        </is>
      </c>
      <c r="J383" s="4"/>
      <c r="K383" s="2"/>
      <c r="L383" t="str" s="3">
        <f>HYPERLINK("https://www.getinge.com/de/news-und-events/neuigkeiten/gesundheitswesen/technologische-innovation-modulare-beatmungsgerate-in-der-intensivbeatmung/","/news-und-events/neuigkeiten/gesundheitswesen/technologische-innovation-modulare-beatmungsgerate-in-der-intensivbeatmung/")</f>
        <v>/news-und-events/neuigkeiten/gesundheitswesen/technologische-innovation-modulare-beatmungsgerate-in-der-intensivbeatmung/</v>
      </c>
    </row>
    <row r="384">
      <c r="A384" s="0">
        <v>383</v>
      </c>
      <c r="B384" t="str" s="3">
        <f>HYPERLINK("https://www.getinge.com/int/insights/updates/healthcare/technological-innovation-modular-ventilators-in-intensive-care/","/insights/updates/healthcare/technological-innovation-modular-ventilators-in-intensive-care/")</f>
        <v>/insights/updates/healthcare/technological-innovation-modular-ventilators-in-intensive-care/</v>
      </c>
      <c r="C384" t="inlineStr" s="2">
        <is>
          <t xml:space="preserve">NB! This information is intended for an audience outside of the U.S.</t>
        </is>
      </c>
      <c r="D384" s="2"/>
      <c r="F384" s="4"/>
      <c r="G384" t="inlineStr" s="2">
        <is>
          <t xml:space="preserve">Die Erfahrungen der pädiatrischen ITS des Universitätsklinikums Köln</t>
        </is>
      </c>
      <c r="H384" t="inlineStr" s="2">
        <is>
          <t xml:space="preserve">Die Herausforderung – Maximale Funktionalität bei begrenztem Budget</t>
        </is>
      </c>
      <c r="I384" t="inlineStr" s="2">
        <is>
          <t xml:space="preserve">Kostensenkung und Prozessoptimierung – Die Vorteile der Modularität</t>
        </is>
      </c>
      <c r="J384" s="4"/>
      <c r="K384" s="2"/>
      <c r="L384" t="str" s="3">
        <f>HYPERLINK("https://www.getinge.com/de/news-und-events/neuigkeiten/gesundheitswesen/technologische-innovation-modulare-beatmungsgerate-in-der-intensivbeatmung/","/news-und-events/neuigkeiten/gesundheitswesen/technologische-innovation-modulare-beatmungsgerate-in-der-intensivbeatmung/")</f>
        <v>/news-und-events/neuigkeiten/gesundheitswesen/technologische-innovation-modulare-beatmungsgerate-in-der-intensivbeatmung/</v>
      </c>
    </row>
    <row r="385">
      <c r="A385" s="0">
        <v>384</v>
      </c>
      <c r="B385" t="str" s="3">
        <f>HYPERLINK("https://www.getinge.com/int/insights/updates/healthcare/transpulmonary-pressure-monitoring-made-easy/","/insights/updates/healthcare/transpulmonary-pressure-monitoring-made-easy/")</f>
        <v>/insights/updates/healthcare/transpulmonary-pressure-monitoring-made-easy/</v>
      </c>
      <c r="C385" t="inlineStr" s="2">
        <is>
          <t xml:space="preserve">Innovative technology for personalized ventilation</t>
        </is>
      </c>
      <c r="D385" t="inlineStr" s="2">
        <is>
          <t xml:space="preserve">Innovative Technologie für die personalisierte Beatmung</t>
        </is>
      </c>
      <c r="E385" t="inlineStr" s="0">
        <is>
          <t xml:space="preserve">High</t>
        </is>
      </c>
      <c r="F385" s="4"/>
      <c r="G385" t="inlineStr" s="2">
        <is>
          <t xml:space="preserve">Lungenbelastung reduzieren und personalisiert beatmen</t>
        </is>
      </c>
      <c r="H385" t="inlineStr" s="2">
        <is>
          <t xml:space="preserve">Einfache und sichere Umsetzung der transpulmonalen Druckmessung „für jeden“</t>
        </is>
      </c>
      <c r="I385" t="inlineStr" s="2">
        <is>
          <t xml:space="preserve">Massive Kosteneinsparungen möglich</t>
        </is>
      </c>
      <c r="J385" s="4"/>
      <c r="K385" s="2"/>
      <c r="L385" t="str" s="3">
        <f>HYPERLINK("https://www.getinge.com/de/news-und-events/neuigkeiten/gesundheitswesen/transpulmonale-druckmessung-leicht-gemacht/","/news-und-events/neuigkeiten/gesundheitswesen/transpulmonale-druckmessung-leicht-gemacht/")</f>
        <v>/news-und-events/neuigkeiten/gesundheitswesen/transpulmonale-druckmessung-leicht-gemacht/</v>
      </c>
    </row>
    <row r="386">
      <c r="A386" s="0">
        <v>385</v>
      </c>
      <c r="B386" t="str" s="3">
        <f>HYPERLINK("https://www.getinge.com/int/insights/updates/healthcare/transpulmonary-pressure-monitoring-made-easy/","/insights/updates/healthcare/transpulmonary-pressure-monitoring-made-easy/")</f>
        <v>/insights/updates/healthcare/transpulmonary-pressure-monitoring-made-easy/</v>
      </c>
      <c r="C386" t="inlineStr" s="2">
        <is>
          <t xml:space="preserve">Transpulmonary pressure monitoring is an important part of clinical monitoring for patients with acute respiratory distress syndrome (ARDS), COPD, COVID-19,morbid obesity, and other respiratory diseases that require invasive ventilation. It enables personalized ventilation and can be used with the aim of reducing lung stress. By monitoring transpulmonary pressure, medical staff can determine the optimal pressures for effective lung ventilation and provide lung-protective ventilation.</t>
        </is>
      </c>
      <c r="D386" t="inlineStr" s="2">
        <is>
          <t xml:space="preserve">Die transpulmonale Druckmessung ist ein wichtiger Bestandteil der klinischen Überwachung von Patient*innen mit akutem Lungenversagen (ARDS), COPD, COVID-19, morbider Adipositas und anderen respiratorischen Erkrankungen, die eine invasive Beatmung erfordern. Sie ermöglicht eine personalisierte Beatmung, mit der Patient*innen wesentlich stressfreier beatmet werden können. Durch die Überwachung des transpulmonalen Drucks kann das ärztliche Personal den optimalen Druck für eine effektive Ventilation der Lunge bestimmen und die Beatmung lungenprotektiv gestalten. Dies reduziert das Risiko von Komplikationen wie Barotrauma, Atelekttrauma und Atemversagen.</t>
        </is>
      </c>
      <c r="E386" t="inlineStr" s="0">
        <is>
          <t xml:space="preserve">High</t>
        </is>
      </c>
      <c r="F386" s="4"/>
      <c r="G386" t="inlineStr" s="2">
        <is>
          <t xml:space="preserve">Die transpulmonale Druckmessung ist ein wichtiger Bestandteil der klinischen Überwachung von Patient*innen mit respiratorischen Erkrankungen, um die Lungenbelastung zu beurteilen und personalisiert zu beatmen. Mit Getinges innovativer Lösung wird die transpulmonale Druckmessung vereinfacht und ihre Aussagekraft verbessert. Kostenintensive Anschaffungen von speziellen Beatmungsgeräten entfallen, wodurch Kliniken erhebliche Einsparungen erzielen können. Erfahren Sie, wie diese wegweisende Technologie unterstützt, die Beatmung für Klinikpersonal und Patient*innen stressfreier zu gestalten.</t>
        </is>
      </c>
      <c r="H386" t="inlineStr" s="2">
        <is>
          <t xml:space="preserve">Die gängigste Messmethode ist die Verwendung eines luftgefüllten Ballons, der in einen Ösophaguskatheter integriert ist. Dieser sollte immer gleich gefüllt sein und an der gleichen Stelle liegen, denn nur so sind die erhobenen Messwerte vergleichbar und aussagekräftig. Ob dem so ist, muss regelmäßig überprüft werden. „Sonst kann man bei Veränderungen der Messwerte nicht unterscheiden, ob sich die Lungensituation geändert hat oder einfach nur der Ballon falsch liegt“, kommentiert Andreas Conzelmann, Product Sales Manager Critical Care, Getinge.</t>
        </is>
      </c>
      <c r="I386" t="inlineStr" s="2">
        <is>
          <t xml:space="preserve">Ein weiterer Vorteil liegt in der Kosteneffizienz. Durch einfaches Konnektieren eines Sensor-Moduls können Getinge-Beatmungsgeräte bei Bedarf für die Ösophagusdruckmessung aufgerüstet werden. Eine separate Anschaffung von speziellen Beatmungsgeräten für diesen Zweck entfällt. Laut Andreas Conzelmann können Kliniken dadurch massiv Kosten einsparen: „Bei Patient*innen, die die Messung benötigen, kann das Modul im laufenden Betrieb einfach ans Beatmungsgerät konnektiert werden – ohne dass das Gerät getauscht werden muss und der Patient*innen Risiken wie PEEP-Verlust oder einer erhöhten Infektionsgefahr ausgesetzt werden muss.“</t>
        </is>
      </c>
      <c r="J386" s="4"/>
      <c r="K386" s="2"/>
      <c r="L386" t="str" s="3">
        <f>HYPERLINK("https://www.getinge.com/de/news-und-events/neuigkeiten/gesundheitswesen/transpulmonale-druckmessung-leicht-gemacht/","/news-und-events/neuigkeiten/gesundheitswesen/transpulmonale-druckmessung-leicht-gemacht/")</f>
        <v>/news-und-events/neuigkeiten/gesundheitswesen/transpulmonale-druckmessung-leicht-gemacht/</v>
      </c>
    </row>
    <row r="387">
      <c r="A387" s="0">
        <v>386</v>
      </c>
      <c r="B387" t="str" s="3">
        <f>HYPERLINK("https://www.getinge.com/int/insights/updates/healthcare/transpulmonary-pressure-monitoring-made-easy/","/insights/updates/healthcare/transpulmonary-pressure-monitoring-made-easy/")</f>
        <v>/insights/updates/healthcare/transpulmonary-pressure-monitoring-made-easy/</v>
      </c>
      <c r="C387" t="inlineStr" s="2">
        <is>
          <t xml:space="preserve">Challenges in measuring transpulmonary pressure</t>
        </is>
      </c>
      <c r="D387" s="2"/>
      <c r="F387" s="4"/>
      <c r="G387" t="inlineStr" s="2">
        <is>
          <t xml:space="preserve">Einfache und sichere Umsetzung der transpulmonalen Druckmessung „für jeden“</t>
        </is>
      </c>
      <c r="H387" t="inlineStr" s="2">
        <is>
          <t xml:space="preserve">Innovative Technologie für die personalisierte Beatmung</t>
        </is>
      </c>
      <c r="I387" t="inlineStr" s="2">
        <is>
          <t xml:space="preserve">Lungenbelastung reduzieren und personalisiert beatmen</t>
        </is>
      </c>
      <c r="J387" s="4"/>
      <c r="K387" s="2"/>
      <c r="L387" t="str" s="3">
        <f>HYPERLINK("https://www.getinge.com/de/news-und-events/neuigkeiten/gesundheitswesen/transpulmonale-druckmessung-leicht-gemacht/","/news-und-events/neuigkeiten/gesundheitswesen/transpulmonale-druckmessung-leicht-gemacht/")</f>
        <v>/news-und-events/neuigkeiten/gesundheitswesen/transpulmonale-druckmessung-leicht-gemacht/</v>
      </c>
    </row>
    <row r="388">
      <c r="A388" s="0">
        <v>387</v>
      </c>
      <c r="B388" t="str" s="3">
        <f>HYPERLINK("https://www.getinge.com/int/insights/updates/healthcare/transpulmonary-pressure-monitoring-made-easy/","/insights/updates/healthcare/transpulmonary-pressure-monitoring-made-easy/")</f>
        <v>/insights/updates/healthcare/transpulmonary-pressure-monitoring-made-easy/</v>
      </c>
      <c r="C388" t="inlineStr" s="2">
        <is>
          <t xml:space="preserve">The most common method for measuring transpulmonary pressure uses an air-filled balloon integrated into an esophageal catheter. The balloon must be carefully inserted to the correct depth for each patient and its filling volume precisely titrated. Regular checks are required to ensure accurate measurements.</t>
        </is>
      </c>
      <c r="D388" s="2"/>
      <c r="F388" s="4"/>
      <c r="G388" t="inlineStr" s="2">
        <is>
          <t xml:space="preserve">Um die Positionierung und Befüllung des Ballons zu validieren, werden standardisierte Manöver gefahren. Bei diesen wird der Atemweg gezielt okkludiert und die Beziehung zwischen dem über den Ösophaguskatheter gemessenen Ösophagusdruck und den Beatmungsdruck des Beatmungsgerätes zu untersuchen. Ist der Ballon korrekt positioniert, korrelieren beide Druckwerte.</t>
        </is>
      </c>
      <c r="H388" t="inlineStr" s="2">
        <is>
          <t xml:space="preserve">Die gängigste Messmethode ist die Verwendung eines luftgefüllten Ballons, der in einen Ösophaguskatheter integriert ist. Dieser sollte immer gleich gefüllt sein und an der gleichen Stelle liegen, denn nur so sind die erhobenen Messwerte vergleichbar und aussagekräftig. Ob dem so ist, muss regelmäßig überprüft werden. „Sonst kann man bei Veränderungen der Messwerte nicht unterscheiden, ob sich die Lungensituation geändert hat oder einfach nur der Ballon falsch liegt“, kommentiert Andreas Conzelmann, Product Sales Manager Critical Care, Getinge.</t>
        </is>
      </c>
      <c r="I388" t="inlineStr" s="2">
        <is>
          <t xml:space="preserve">Die transpulmonale Druckmessung ist ein wichtiger Bestandteil der klinischen Überwachung von Patient*innen mit respiratorischen Erkrankungen, um die Lungenbelastung zu beurteilen und personalisiert zu beatmen. Mit Getinges innovativer Lösung wird die transpulmonale Druckmessung vereinfacht und ihre Aussagekraft verbessert. Kostenintensive Anschaffungen von speziellen Beatmungsgeräten entfallen, wodurch Kliniken erhebliche Einsparungen erzielen können. Erfahren Sie, wie diese wegweisende Technologie unterstützt, die Beatmung für Klinikpersonal und Patient*innen stressfreier zu gestalten.</t>
        </is>
      </c>
      <c r="J388" s="4"/>
      <c r="K388" s="2"/>
      <c r="L388" t="str" s="3">
        <f>HYPERLINK("https://www.getinge.com/de/news-und-events/neuigkeiten/gesundheitswesen/transpulmonale-druckmessung-leicht-gemacht/","/news-und-events/neuigkeiten/gesundheitswesen/transpulmonale-druckmessung-leicht-gemacht/")</f>
        <v>/news-und-events/neuigkeiten/gesundheitswesen/transpulmonale-druckmessung-leicht-gemacht/</v>
      </c>
    </row>
    <row r="389">
      <c r="A389" s="0">
        <v>388</v>
      </c>
      <c r="B389" t="str" s="3">
        <f>HYPERLINK("https://www.getinge.com/int/insights/updates/healthcare/transpulmonary-pressure-monitoring-made-easy/","/insights/updates/healthcare/transpulmonary-pressure-monitoring-made-easy/")</f>
        <v>/insights/updates/healthcare/transpulmonary-pressure-monitoring-made-easy/</v>
      </c>
      <c r="C389" t="inlineStr" s="2">
        <is>
          <t xml:space="preserve">“Otherwise, if the measured value changes, it is impossible to tell whether the lung situation has changed or whether the balloon calibration is no longer valid,” explains Andreas Conzelmann, Product Sales Manager Critical Care, Getinge.</t>
        </is>
      </c>
      <c r="D389" s="2"/>
      <c r="F389" s="4"/>
      <c r="G389" t="inlineStr" s="2">
        <is>
          <t xml:space="preserve">Um die Positionierung und Befüllung des Ballons zu validieren, werden standardisierte Manöver gefahren. Bei diesen wird der Atemweg gezielt okkludiert und die Beziehung zwischen dem über den Ösophaguskatheter gemessenen Ösophagusdruck und den Beatmungsdruck des Beatmungsgerätes zu untersuchen. Ist der Ballon korrekt positioniert, korrelieren beide Druckwerte.</t>
        </is>
      </c>
      <c r="H389" t="inlineStr" s="2">
        <is>
          <t xml:space="preserve">Die gängigste Messmethode ist die Verwendung eines luftgefüllten Ballons, der in einen Ösophaguskatheter integriert ist. Dieser sollte immer gleich gefüllt sein und an der gleichen Stelle liegen, denn nur so sind die erhobenen Messwerte vergleichbar und aussagekräftig. Ob dem so ist, muss regelmäßig überprüft werden. „Sonst kann man bei Veränderungen der Messwerte nicht unterscheiden, ob sich die Lungensituation geändert hat oder einfach nur der Ballon falsch liegt“, kommentiert Andreas Conzelmann, Product Sales Manager Critical Care, Getinge.</t>
        </is>
      </c>
      <c r="I389" t="inlineStr" s="2">
        <is>
          <t xml:space="preserve">Um die Druckmessung zu vereinfachen und die Aussagekraft zu verbessern, hat Getinge ein automatisiertes Manöver zur Validierung der Ballonpositionierung und -füllung entwickelt. „Getinge hat seit jeher das Ziel, komplexe Therapiemethoden für jeden einfach und sicher durchführbar zu machen. Der von uns entwickelte Workflow führt den Anwender auf einfache Weise durch jeden nötigen Schritt, um festzustellen, ob der Katheter dort liegt, wo er liegen soll“, sagt Andreas Conzelmann. Ein weiteres Plus: Druckkurven und Schlüsselparameter sind am Bildschirm anschaulich, einfach und verständlich dargestellt, um Lungenstress, Lungenbelastung und Spontanatmung objektiv zu bewerten. Michael Hartmann, Atmungstherapeut, erinnert sich: „Die Einführung der Software von Getinge am Klinikum Ostallgäu-Kaufbeuren war wie Weihnachten. Die Bedienbarkeit ist mit sehr intuitiven und klaren Strukturen sehr einfach, man weiß, ob die Sonde am richtigen Platz ist, denn man hat eine sehr gute Positionierungshilfe“.</t>
        </is>
      </c>
      <c r="J389" s="4"/>
      <c r="K389" s="2"/>
      <c r="L389" t="str" s="3">
        <f>HYPERLINK("https://www.getinge.com/de/news-und-events/neuigkeiten/gesundheitswesen/transpulmonale-druckmessung-leicht-gemacht/","/news-und-events/neuigkeiten/gesundheitswesen/transpulmonale-druckmessung-leicht-gemacht/")</f>
        <v>/news-und-events/neuigkeiten/gesundheitswesen/transpulmonale-druckmessung-leicht-gemacht/</v>
      </c>
    </row>
    <row r="390">
      <c r="A390" s="0">
        <v>389</v>
      </c>
      <c r="B390" t="str" s="3">
        <f>HYPERLINK("https://www.getinge.com/int/insights/updates/healthcare/transpulmonary-pressure-monitoring-made-easy/","/insights/updates/healthcare/transpulmonary-pressure-monitoring-made-easy/")</f>
        <v>/insights/updates/healthcare/transpulmonary-pressure-monitoring-made-easy/</v>
      </c>
      <c r="C390" t="inlineStr" s="2">
        <is>
          <t xml:space="preserve">Standardized maneuvers are used to validate balloon positioning and filling. These involve selectively occluding the airway and assessing the relationship between the esophageal pressure measured via the catheter and the airway pressure from the ventilator. If the balloon is correctly positioned and filled, both pressure values correlate.</t>
        </is>
      </c>
      <c r="D390" t="inlineStr" s="2">
        <is>
          <t xml:space="preserve">Um die Positionierung und Befüllung des Ballons zu validieren, werden standardisierte Manöver gefahren. Bei diesen wird der Atemweg gezielt okkludiert und die Beziehung zwischen dem über den Ösophaguskatheter gemessenen Ösophagusdruck und den Beatmungsdruck des Beatmungsgerätes zu untersuchen. Ist der Ballon korrekt positioniert, korrelieren beide Druckwerte.</t>
        </is>
      </c>
      <c r="E390" t="inlineStr" s="0">
        <is>
          <t xml:space="preserve">Medium</t>
        </is>
      </c>
      <c r="F390" s="4"/>
      <c r="G390" t="inlineStr" s="2">
        <is>
          <t xml:space="preserve">Die gängigste Messmethode ist die Verwendung eines luftgefüllten Ballons, der in einen Ösophaguskatheter integriert ist. Dieser sollte immer gleich gefüllt sein und an der gleichen Stelle liegen, denn nur so sind die erhobenen Messwerte vergleichbar und aussagekräftig. Ob dem so ist, muss regelmäßig überprüft werden. „Sonst kann man bei Veränderungen der Messwerte nicht unterscheiden, ob sich die Lungensituation geändert hat oder einfach nur der Ballon falsch liegt“, kommentiert Andreas Conzelmann, Product Sales Manager Critical Care, Getinge.</t>
        </is>
      </c>
      <c r="H390" t="inlineStr" s="2">
        <is>
          <t xml:space="preserve">Die transpulmonale Druckmessung ist ein wichtiger Bestandteil der klinischen Überwachung von Patient*innen mit respiratorischen Erkrankungen, um die Lungenbelastung zu beurteilen und personalisiert zu beatmen. Mit Getinges innovativer Lösung wird die transpulmonale Druckmessung vereinfacht und ihre Aussagekraft verbessert. Kostenintensive Anschaffungen von speziellen Beatmungsgeräten entfallen, wodurch Kliniken erhebliche Einsparungen erzielen können. Erfahren Sie, wie diese wegweisende Technologie unterstützt, die Beatmung für Klinikpersonal und Patient*innen stressfreier zu gestalten.</t>
        </is>
      </c>
      <c r="I390" t="inlineStr" s="2">
        <is>
          <t xml:space="preserve">Ein weiterer Vorteil liegt in der Kosteneffizienz. Durch einfaches Konnektieren eines Sensor-Moduls können Getinge-Beatmungsgeräte bei Bedarf für die Ösophagusdruckmessung aufgerüstet werden. Eine separate Anschaffung von speziellen Beatmungsgeräten für diesen Zweck entfällt. Laut Andreas Conzelmann können Kliniken dadurch massiv Kosten einsparen: „Bei Patient*innen, die die Messung benötigen, kann das Modul im laufenden Betrieb einfach ans Beatmungsgerät konnektiert werden – ohne dass das Gerät getauscht werden muss und der Patient*innen Risiken wie PEEP-Verlust oder einer erhöhten Infektionsgefahr ausgesetzt werden muss.“</t>
        </is>
      </c>
      <c r="J390" s="4"/>
      <c r="K390" s="2"/>
      <c r="L390" t="str" s="3">
        <f>HYPERLINK("https://www.getinge.com/de/news-und-events/neuigkeiten/gesundheitswesen/transpulmonale-druckmessung-leicht-gemacht/","/news-und-events/neuigkeiten/gesundheitswesen/transpulmonale-druckmessung-leicht-gemacht/")</f>
        <v>/news-und-events/neuigkeiten/gesundheitswesen/transpulmonale-druckmessung-leicht-gemacht/</v>
      </c>
    </row>
    <row r="391">
      <c r="A391" s="0">
        <v>390</v>
      </c>
      <c r="B391" t="str" s="3">
        <f>HYPERLINK("https://www.getinge.com/int/insights/updates/healthcare/transpulmonary-pressure-monitoring-made-easy/","/insights/updates/healthcare/transpulmonary-pressure-monitoring-made-easy/")</f>
        <v>/insights/updates/healthcare/transpulmonary-pressure-monitoring-made-easy/</v>
      </c>
      <c r="C391" t="inlineStr" s="2">
        <is>
          <t xml:space="preserve">Simple and safe implementation of transpulmonary pressure monitoring "for everyone"</t>
        </is>
      </c>
      <c r="D391" t="inlineStr" s="2">
        <is>
          <t xml:space="preserve">Einfache und sichere Umsetzung der transpulmonalen Druckmessung „für jeden“</t>
        </is>
      </c>
      <c r="E391" t="inlineStr" s="0">
        <is>
          <t xml:space="preserve">Low</t>
        </is>
      </c>
      <c r="F391" s="4"/>
      <c r="G391" t="inlineStr" s="2">
        <is>
          <t xml:space="preserve">Innovative Technologie für die personalisierte Beatmung</t>
        </is>
      </c>
      <c r="H391" t="inlineStr" s="2">
        <is>
          <t xml:space="preserve">Lungenbelastung reduzieren und personalisiert beatmen</t>
        </is>
      </c>
      <c r="I391" s="2"/>
      <c r="J391" s="4"/>
      <c r="K391" s="2"/>
      <c r="L391" t="str" s="3">
        <f>HYPERLINK("https://www.getinge.com/de/news-und-events/neuigkeiten/gesundheitswesen/transpulmonale-druckmessung-leicht-gemacht/","/news-und-events/neuigkeiten/gesundheitswesen/transpulmonale-druckmessung-leicht-gemacht/")</f>
        <v>/news-und-events/neuigkeiten/gesundheitswesen/transpulmonale-druckmessung-leicht-gemacht/</v>
      </c>
    </row>
    <row r="392">
      <c r="A392" s="0">
        <v>391</v>
      </c>
      <c r="B392" t="str" s="3">
        <f>HYPERLINK("https://www.getinge.com/int/insights/updates/healthcare/transpulmonary-pressure-monitoring-made-easy/","/insights/updates/healthcare/transpulmonary-pressure-monitoring-made-easy/")</f>
        <v>/insights/updates/healthcare/transpulmonary-pressure-monitoring-made-easy/</v>
      </c>
      <c r="C392" t="inlineStr" s="2">
        <is>
          <t xml:space="preserve">To simplify pressure monitoring and improve accuracy, Getinge has developed an automated maneuver to validate balloon positioning and filling.</t>
        </is>
      </c>
      <c r="D392" s="2"/>
      <c r="F392" s="4"/>
      <c r="G392" t="inlineStr" s="2">
        <is>
          <t xml:space="preserve">Um die Positionierung und Befüllung des Ballons zu validieren, werden standardisierte Manöver gefahren. Bei diesen wird der Atemweg gezielt okkludiert und die Beziehung zwischen dem über den Ösophaguskatheter gemessenen Ösophagusdruck und den Beatmungsdruck des Beatmungsgerätes zu untersuchen. Ist der Ballon korrekt positioniert, korrelieren beide Druckwerte.</t>
        </is>
      </c>
      <c r="H392" t="inlineStr" s="2">
        <is>
          <t xml:space="preserve">Um die Druckmessung zu vereinfachen und die Aussagekraft zu verbessern, hat Getinge ein automatisiertes Manöver zur Validierung der Ballonpositionierung und -füllung entwickelt. „Getinge hat seit jeher das Ziel, komplexe Therapiemethoden für jeden einfach und sicher durchführbar zu machen. Der von uns entwickelte Workflow führt den Anwender auf einfache Weise durch jeden nötigen Schritt, um festzustellen, ob der Katheter dort liegt, wo er liegen soll“, sagt Andreas Conzelmann. Ein weiteres Plus: Druckkurven und Schlüsselparameter sind am Bildschirm anschaulich, einfach und verständlich dargestellt, um Lungenstress, Lungenbelastung und Spontanatmung objektiv zu bewerten. Michael Hartmann, Atmungstherapeut, erinnert sich: „Die Einführung der Software von Getinge am Klinikum Ostallgäu-Kaufbeuren war wie Weihnachten. Die Bedienbarkeit ist mit sehr intuitiven und klaren Strukturen sehr einfach, man weiß, ob die Sonde am richtigen Platz ist, denn man hat eine sehr gute Positionierungshilfe“.</t>
        </is>
      </c>
      <c r="I392" s="2"/>
      <c r="J392" s="4"/>
      <c r="K392" s="2"/>
      <c r="L392" t="str" s="3">
        <f>HYPERLINK("https://www.getinge.com/de/news-und-events/neuigkeiten/gesundheitswesen/transpulmonale-druckmessung-leicht-gemacht/","/news-und-events/neuigkeiten/gesundheitswesen/transpulmonale-druckmessung-leicht-gemacht/")</f>
        <v>/news-und-events/neuigkeiten/gesundheitswesen/transpulmonale-druckmessung-leicht-gemacht/</v>
      </c>
    </row>
    <row r="393">
      <c r="A393" s="0">
        <v>392</v>
      </c>
      <c r="B393" t="str" s="3">
        <f>HYPERLINK("https://www.getinge.com/int/insights/updates/healthcare/transpulmonary-pressure-monitoring-made-easy/","/insights/updates/healthcare/transpulmonary-pressure-monitoring-made-easy/")</f>
        <v>/insights/updates/healthcare/transpulmonary-pressure-monitoring-made-easy/</v>
      </c>
      <c r="C393" t="inlineStr" s="2">
        <is>
          <t xml:space="preserve">“Getinge has always aimed to make complex therapy methods easy and safe for everyone to perform. The workflow we have developed guides the user through each step intuitively to ensure that the catheter provides accurate values,” says Andreas Conzelmann.</t>
        </is>
      </c>
      <c r="D393" s="2"/>
      <c r="F393" s="4"/>
      <c r="G393" t="inlineStr" s="2">
        <is>
          <t xml:space="preserve">Um die Positionierung und Befüllung des Ballons zu validieren, werden standardisierte Manöver gefahren. Bei diesen wird der Atemweg gezielt okkludiert und die Beziehung zwischen dem über den Ösophaguskatheter gemessenen Ösophagusdruck und den Beatmungsdruck des Beatmungsgerätes zu untersuchen. Ist der Ballon korrekt positioniert, korrelieren beide Druckwerte.</t>
        </is>
      </c>
      <c r="H393" t="inlineStr" s="2">
        <is>
          <t xml:space="preserve">Um die Druckmessung zu vereinfachen und die Aussagekraft zu verbessern, hat Getinge ein automatisiertes Manöver zur Validierung der Ballonpositionierung und -füllung entwickelt. „Getinge hat seit jeher das Ziel, komplexe Therapiemethoden für jeden einfach und sicher durchführbar zu machen. Der von uns entwickelte Workflow führt den Anwender auf einfache Weise durch jeden nötigen Schritt, um festzustellen, ob der Katheter dort liegt, wo er liegen soll“, sagt Andreas Conzelmann. Ein weiteres Plus: Druckkurven und Schlüsselparameter sind am Bildschirm anschaulich, einfach und verständlich dargestellt, um Lungenstress, Lungenbelastung und Spontanatmung objektiv zu bewerten. Michael Hartmann, Atmungstherapeut, erinnert sich: „Die Einführung der Software von Getinge am Klinikum Ostallgäu-Kaufbeuren war wie Weihnachten. Die Bedienbarkeit ist mit sehr intuitiven und klaren Strukturen sehr einfach, man weiß, ob die Sonde am richtigen Platz ist, denn man hat eine sehr gute Positionierungshilfe“.</t>
        </is>
      </c>
      <c r="I393" t="inlineStr" s="2">
        <is>
          <t xml:space="preserve">Die gängigste Messmethode ist die Verwendung eines luftgefüllten Ballons, der in einen Ösophaguskatheter integriert ist. Dieser sollte immer gleich gefüllt sein und an der gleichen Stelle liegen, denn nur so sind die erhobenen Messwerte vergleichbar und aussagekräftig. Ob dem so ist, muss regelmäßig überprüft werden. „Sonst kann man bei Veränderungen der Messwerte nicht unterscheiden, ob sich die Lungensituation geändert hat oder einfach nur der Ballon falsch liegt“, kommentiert Andreas Conzelmann, Product Sales Manager Critical Care, Getinge.</t>
        </is>
      </c>
      <c r="J393" s="4"/>
      <c r="K393" s="2"/>
      <c r="L393" t="str" s="3">
        <f>HYPERLINK("https://www.getinge.com/de/news-und-events/neuigkeiten/gesundheitswesen/transpulmonale-druckmessung-leicht-gemacht/","/news-und-events/neuigkeiten/gesundheitswesen/transpulmonale-druckmessung-leicht-gemacht/")</f>
        <v>/news-und-events/neuigkeiten/gesundheitswesen/transpulmonale-druckmessung-leicht-gemacht/</v>
      </c>
    </row>
    <row r="394">
      <c r="A394" s="0">
        <v>393</v>
      </c>
      <c r="B394" t="str" s="3">
        <f>HYPERLINK("https://www.getinge.com/int/insights/updates/healthcare/transpulmonary-pressure-monitoring-made-easy/","/insights/updates/healthcare/transpulmonary-pressure-monitoring-made-easy/")</f>
        <v>/insights/updates/healthcare/transpulmonary-pressure-monitoring-made-easy/</v>
      </c>
      <c r="C394" t="inlineStr" s="2">
        <is>
          <t xml:space="preserve">Another advantage is that pressure curves and key parameters are displayed clearly, simply and comprehensively on the screen, enabling objective assessment of lung recruitment, lung stress, and spontaneous breathing.</t>
        </is>
      </c>
      <c r="D394" s="2"/>
      <c r="F394" s="4"/>
      <c r="G394" t="inlineStr" s="2">
        <is>
          <t xml:space="preserve">Um die Positionierung und Befüllung des Ballons zu validieren, werden standardisierte Manöver gefahren. Bei diesen wird der Atemweg gezielt okkludiert und die Beziehung zwischen dem über den Ösophaguskatheter gemessenen Ösophagusdruck und den Beatmungsdruck des Beatmungsgerätes zu untersuchen. Ist der Ballon korrekt positioniert, korrelieren beide Druckwerte.</t>
        </is>
      </c>
      <c r="H394" t="inlineStr" s="2">
        <is>
          <t xml:space="preserve">Um die Druckmessung zu vereinfachen und die Aussagekraft zu verbessern, hat Getinge ein automatisiertes Manöver zur Validierung der Ballonpositionierung und -füllung entwickelt. „Getinge hat seit jeher das Ziel, komplexe Therapiemethoden für jeden einfach und sicher durchführbar zu machen. Der von uns entwickelte Workflow führt den Anwender auf einfache Weise durch jeden nötigen Schritt, um festzustellen, ob der Katheter dort liegt, wo er liegen soll“, sagt Andreas Conzelmann. Ein weiteres Plus: Druckkurven und Schlüsselparameter sind am Bildschirm anschaulich, einfach und verständlich dargestellt, um Lungenstress, Lungenbelastung und Spontanatmung objektiv zu bewerten. Michael Hartmann, Atmungstherapeut, erinnert sich: „Die Einführung der Software von Getinge am Klinikum Ostallgäu-Kaufbeuren war wie Weihnachten. Die Bedienbarkeit ist mit sehr intuitiven und klaren Strukturen sehr einfach, man weiß, ob die Sonde am richtigen Platz ist, denn man hat eine sehr gute Positionierungshilfe“.</t>
        </is>
      </c>
      <c r="I394" s="2"/>
      <c r="J394" s="4"/>
      <c r="K394" s="2"/>
      <c r="L394" t="str" s="3">
        <f>HYPERLINK("https://www.getinge.com/de/news-und-events/neuigkeiten/gesundheitswesen/transpulmonale-druckmessung-leicht-gemacht/","/news-und-events/neuigkeiten/gesundheitswesen/transpulmonale-druckmessung-leicht-gemacht/")</f>
        <v>/news-und-events/neuigkeiten/gesundheitswesen/transpulmonale-druckmessung-leicht-gemacht/</v>
      </c>
    </row>
    <row r="395">
      <c r="A395" s="0">
        <v>394</v>
      </c>
      <c r="B395" t="str" s="3">
        <f>HYPERLINK("https://www.getinge.com/int/insights/updates/healthcare/transpulmonary-pressure-monitoring-made-easy/","/insights/updates/healthcare/transpulmonary-pressure-monitoring-made-easy/")</f>
        <v>/insights/updates/healthcare/transpulmonary-pressure-monitoring-made-easy/</v>
      </c>
      <c r="C395" t="inlineStr" s="2">
        <is>
          <t xml:space="preserve">Respiratory therapist Michael Hartmann recalls: “The introduction of Getinge’s software at the Ostallgäu-Kaufbeuren Clinic was like Christmas. It is very easy to use, with intuitive and clear structures, and you know whether the probe is in the right place because you have a very good positioning aid.”</t>
        </is>
      </c>
      <c r="D395" s="2"/>
      <c r="F395" s="4"/>
      <c r="G395" t="inlineStr" s="2">
        <is>
          <t xml:space="preserve">Um die Positionierung und Befüllung des Ballons zu validieren, werden standardisierte Manöver gefahren. Bei diesen wird der Atemweg gezielt okkludiert und die Beziehung zwischen dem über den Ösophaguskatheter gemessenen Ösophagusdruck und den Beatmungsdruck des Beatmungsgerätes zu untersuchen. Ist der Ballon korrekt positioniert, korrelieren beide Druckwerte.</t>
        </is>
      </c>
      <c r="H395" t="inlineStr" s="2">
        <is>
          <t xml:space="preserve">Um die Druckmessung zu vereinfachen und die Aussagekraft zu verbessern, hat Getinge ein automatisiertes Manöver zur Validierung der Ballonpositionierung und -füllung entwickelt. „Getinge hat seit jeher das Ziel, komplexe Therapiemethoden für jeden einfach und sicher durchführbar zu machen. Der von uns entwickelte Workflow führt den Anwender auf einfache Weise durch jeden nötigen Schritt, um festzustellen, ob der Katheter dort liegt, wo er liegen soll“, sagt Andreas Conzelmann. Ein weiteres Plus: Druckkurven und Schlüsselparameter sind am Bildschirm anschaulich, einfach und verständlich dargestellt, um Lungenstress, Lungenbelastung und Spontanatmung objektiv zu bewerten. Michael Hartmann, Atmungstherapeut, erinnert sich: „Die Einführung der Software von Getinge am Klinikum Ostallgäu-Kaufbeuren war wie Weihnachten. Die Bedienbarkeit ist mit sehr intuitiven und klaren Strukturen sehr einfach, man weiß, ob die Sonde am richtigen Platz ist, denn man hat eine sehr gute Positionierungshilfe“.</t>
        </is>
      </c>
      <c r="I395" t="inlineStr" s="2">
        <is>
          <t xml:space="preserve">Die transpulmonale Druckmessung ist ein wichtiger Bestandteil der klinischen Überwachung von Patient*innen mit respiratorischen Erkrankungen, um die Lungenbelastung zu beurteilen und personalisiert zu beatmen. Mit Getinges innovativer Lösung wird die transpulmonale Druckmessung vereinfacht und ihre Aussagekraft verbessert. Kostenintensive Anschaffungen von speziellen Beatmungsgeräten entfallen, wodurch Kliniken erhebliche Einsparungen erzielen können. Erfahren Sie, wie diese wegweisende Technologie unterstützt, die Beatmung für Klinikpersonal und Patient*innen stressfreier zu gestalten.</t>
        </is>
      </c>
      <c r="J395" s="4"/>
      <c r="K395" s="2"/>
      <c r="L395" t="str" s="3">
        <f>HYPERLINK("https://www.getinge.com/de/news-und-events/neuigkeiten/gesundheitswesen/transpulmonale-druckmessung-leicht-gemacht/","/news-und-events/neuigkeiten/gesundheitswesen/transpulmonale-druckmessung-leicht-gemacht/")</f>
        <v>/news-und-events/neuigkeiten/gesundheitswesen/transpulmonale-druckmessung-leicht-gemacht/</v>
      </c>
    </row>
    <row r="396">
      <c r="A396" s="0">
        <v>395</v>
      </c>
      <c r="B396" t="str" s="3">
        <f>HYPERLINK("https://www.getinge.com/int/insights/updates/healthcare/transpulmonary-pressure-monitoring-made-easy/","/insights/updates/healthcare/transpulmonary-pressure-monitoring-made-easy/")</f>
        <v>/insights/updates/healthcare/transpulmonary-pressure-monitoring-made-easy/</v>
      </c>
      <c r="C396" t="inlineStr" s="2">
        <is>
          <t xml:space="preserve">Significant cost saving possible</t>
        </is>
      </c>
      <c r="D396" t="inlineStr" s="2">
        <is>
          <t xml:space="preserve">Massive Kosteneinsparungen möglich</t>
        </is>
      </c>
      <c r="E396" t="inlineStr" s="0">
        <is>
          <t xml:space="preserve">Medium</t>
        </is>
      </c>
      <c r="F396" s="4"/>
      <c r="G396" t="inlineStr" s="2">
        <is>
          <t xml:space="preserve">Lungenbelastung reduzieren und personalisiert beatmen</t>
        </is>
      </c>
      <c r="H396" t="inlineStr" s="2">
        <is>
          <t xml:space="preserve">Innovative Technologie für die personalisierte Beatmung</t>
        </is>
      </c>
      <c r="I396" s="2"/>
      <c r="J396" s="4"/>
      <c r="K396" s="2"/>
      <c r="L396" t="str" s="3">
        <f>HYPERLINK("https://www.getinge.com/de/news-und-events/neuigkeiten/gesundheitswesen/transpulmonale-druckmessung-leicht-gemacht/","/news-und-events/neuigkeiten/gesundheitswesen/transpulmonale-druckmessung-leicht-gemacht/")</f>
        <v>/news-und-events/neuigkeiten/gesundheitswesen/transpulmonale-druckmessung-leicht-gemacht/</v>
      </c>
    </row>
    <row r="397">
      <c r="A397" s="0">
        <v>396</v>
      </c>
      <c r="B397" t="str" s="3">
        <f>HYPERLINK("https://www.getinge.com/int/insights/updates/healthcare/transpulmonary-pressure-monitoring-made-easy/","/insights/updates/healthcare/transpulmonary-pressure-monitoring-made-easy/")</f>
        <v>/insights/updates/healthcare/transpulmonary-pressure-monitoring-made-easy/</v>
      </c>
      <c r="C397" t="inlineStr" s="2">
        <is>
          <t xml:space="preserve">Another benefit is cost efficiency. By simply connecting a sensor module, Getinge Servo ventilators can be upgraded for esophageal pressure monitoring when needed. There is no need to purchase dedicated ventilators for this purpose.</t>
        </is>
      </c>
      <c r="D397" s="2"/>
      <c r="F397" s="4"/>
      <c r="G397" t="inlineStr" s="2">
        <is>
          <t xml:space="preserve">Um die Positionierung und Befüllung des Ballons zu validieren, werden standardisierte Manöver gefahren. Bei diesen wird der Atemweg gezielt okkludiert und die Beziehung zwischen dem über den Ösophaguskatheter gemessenen Ösophagusdruck und den Beatmungsdruck des Beatmungsgerätes zu untersuchen. Ist der Ballon korrekt positioniert, korrelieren beide Druckwerte.</t>
        </is>
      </c>
      <c r="H397" t="inlineStr" s="2">
        <is>
          <t xml:space="preserve">Ein weiterer Vorteil liegt in der Kosteneffizienz. Durch einfaches Konnektieren eines Sensor-Moduls können Getinge-Beatmungsgeräte bei Bedarf für die Ösophagusdruckmessung aufgerüstet werden. Eine separate Anschaffung von speziellen Beatmungsgeräten für diesen Zweck entfällt. Laut Andreas Conzelmann können Kliniken dadurch massiv Kosten einsparen: „Bei Patient*innen, die die Messung benötigen, kann das Modul im laufenden Betrieb einfach ans Beatmungsgerät konnektiert werden – ohne dass das Gerät getauscht werden muss und der Patient*innen Risiken wie PEEP-Verlust oder einer erhöhten Infektionsgefahr ausgesetzt werden muss.“</t>
        </is>
      </c>
      <c r="I397" s="2"/>
      <c r="J397" s="4"/>
      <c r="K397" s="2"/>
      <c r="L397" t="str" s="3">
        <f>HYPERLINK("https://www.getinge.com/de/news-und-events/neuigkeiten/gesundheitswesen/transpulmonale-druckmessung-leicht-gemacht/","/news-und-events/neuigkeiten/gesundheitswesen/transpulmonale-druckmessung-leicht-gemacht/")</f>
        <v>/news-und-events/neuigkeiten/gesundheitswesen/transpulmonale-druckmessung-leicht-gemacht/</v>
      </c>
    </row>
    <row r="398">
      <c r="A398" s="0">
        <v>397</v>
      </c>
      <c r="B398" t="str" s="3">
        <f>HYPERLINK("https://www.getinge.com/int/insights/updates/healthcare/transpulmonary-pressure-monitoring-made-easy/","/insights/updates/healthcare/transpulmonary-pressure-monitoring-made-easy/")</f>
        <v>/insights/updates/healthcare/transpulmonary-pressure-monitoring-made-easy/</v>
      </c>
      <c r="C398" t="inlineStr" s="2">
        <is>
          <t xml:space="preserve">According to Andreas Conzelmann, “For patients who require transpulmonary monitoring, the module can be easily connected to the ventilator during operation – without having to replace the device and expose the patient to risks such as PEEP loss or an increased risk of infection.”</t>
        </is>
      </c>
      <c r="D398" s="2"/>
      <c r="F398" s="4"/>
      <c r="G398" t="inlineStr" s="2">
        <is>
          <t xml:space="preserve">Um die Positionierung und Befüllung des Ballons zu validieren, werden standardisierte Manöver gefahren. Bei diesen wird der Atemweg gezielt okkludiert und die Beziehung zwischen dem über den Ösophaguskatheter gemessenen Ösophagusdruck und den Beatmungsdruck des Beatmungsgerätes zu untersuchen. Ist der Ballon korrekt positioniert, korrelieren beide Druckwerte.</t>
        </is>
      </c>
      <c r="H398" t="inlineStr" s="2">
        <is>
          <t xml:space="preserve">Ein weiterer Vorteil liegt in der Kosteneffizienz. Durch einfaches Konnektieren eines Sensor-Moduls können Getinge-Beatmungsgeräte bei Bedarf für die Ösophagusdruckmessung aufgerüstet werden. Eine separate Anschaffung von speziellen Beatmungsgeräten für diesen Zweck entfällt. Laut Andreas Conzelmann können Kliniken dadurch massiv Kosten einsparen: „Bei Patient*innen, die die Messung benötigen, kann das Modul im laufenden Betrieb einfach ans Beatmungsgerät konnektiert werden – ohne dass das Gerät getauscht werden muss und der Patient*innen Risiken wie PEEP-Verlust oder einer erhöhten Infektionsgefahr ausgesetzt werden muss.“</t>
        </is>
      </c>
      <c r="I398" t="inlineStr" s="2">
        <is>
          <t xml:space="preserve">Die gängigste Messmethode ist die Verwendung eines luftgefüllten Ballons, der in einen Ösophaguskatheter integriert ist. Dieser sollte immer gleich gefüllt sein und an der gleichen Stelle liegen, denn nur so sind die erhobenen Messwerte vergleichbar und aussagekräftig. Ob dem so ist, muss regelmäßig überprüft werden. „Sonst kann man bei Veränderungen der Messwerte nicht unterscheiden, ob sich die Lungensituation geändert hat oder einfach nur der Ballon falsch liegt“, kommentiert Andreas Conzelmann, Product Sales Manager Critical Care, Getinge.</t>
        </is>
      </c>
      <c r="J398" s="4"/>
      <c r="K398" s="2"/>
      <c r="L398" t="str" s="3">
        <f>HYPERLINK("https://www.getinge.com/de/news-und-events/neuigkeiten/gesundheitswesen/transpulmonale-druckmessung-leicht-gemacht/","/news-und-events/neuigkeiten/gesundheitswesen/transpulmonale-druckmessung-leicht-gemacht/")</f>
        <v>/news-und-events/neuigkeiten/gesundheitswesen/transpulmonale-druckmessung-leicht-gemacht/</v>
      </c>
    </row>
    <row r="399">
      <c r="A399" s="0">
        <v>398</v>
      </c>
      <c r="B399" t="str" s="3">
        <f>HYPERLINK("https://www.getinge.com/int/insights/updates/healthcare/transpulmonary-pressure-monitoring-made-easy/","/insights/updates/healthcare/transpulmonary-pressure-monitoring-made-easy/")</f>
        <v>/insights/updates/healthcare/transpulmonary-pressure-monitoring-made-easy/</v>
      </c>
      <c r="C399" t="inlineStr" s="2">
        <is>
          <t xml:space="preserve">Learn more about transpulmonary pressure monitoring</t>
        </is>
      </c>
      <c r="D399" s="2"/>
      <c r="F399" s="4"/>
      <c r="G399" t="inlineStr" s="2">
        <is>
          <t xml:space="preserve">Einfache und sichere Umsetzung der transpulmonalen Druckmessung „für jeden“</t>
        </is>
      </c>
      <c r="H399" t="inlineStr" s="2">
        <is>
          <t xml:space="preserve">Innovative Technologie für die personalisierte Beatmung</t>
        </is>
      </c>
      <c r="I399" t="inlineStr" s="2">
        <is>
          <t xml:space="preserve">Lungenbelastung reduzieren und personalisiert beatmen</t>
        </is>
      </c>
      <c r="J399" s="4"/>
      <c r="K399" s="2"/>
      <c r="L399" t="str" s="3">
        <f>HYPERLINK("https://www.getinge.com/de/news-und-events/neuigkeiten/gesundheitswesen/transpulmonale-druckmessung-leicht-gemacht/","/news-und-events/neuigkeiten/gesundheitswesen/transpulmonale-druckmessung-leicht-gemacht/")</f>
        <v>/news-und-events/neuigkeiten/gesundheitswesen/transpulmonale-druckmessung-leicht-gemacht/</v>
      </c>
    </row>
    <row r="400">
      <c r="A400" s="0">
        <v>399</v>
      </c>
      <c r="B400" t="str" s="3">
        <f>HYPERLINK("https://www.getinge.com/int/insights/updates/healthcare/when-is-a-digital-patient-flow-management-system-the-right-solution/","/insights/updates/healthcare/when-is-a-digital-patient-flow-management-system-the-right-solution/")</f>
        <v>/insights/updates/healthcare/when-is-a-digital-patient-flow-management-system-the-right-solution/</v>
      </c>
      <c r="C400" t="inlineStr" s="2">
        <is>
          <t xml:space="preserve">When does a digital patient flow management system make sense? What steps should decision-makers and planners take, and what kind of support can be expected from providers like Getinge? Christian Cordes, Product Sales Manager for hospital IT solutions at Getinge, offers insights and practical guidance.</t>
        </is>
      </c>
      <c r="D400" t="inlineStr" s="2">
        <is>
          <t xml:space="preserve">Wann ist ein digitales Patient*innenfluss-Managementsystem eine sinnvolle Lösung? Wie gehe ich als Entscheider und Planer konkret vor und welchen Support kann ich von Anbietern wie Getinge erwarten? Christian Cordes, Product Sales Manager im Bereich Krankenhaus IT-Lösungen, von Getinge informiert und gibt praktische Tipps zur Herangehensweise.</t>
        </is>
      </c>
      <c r="E400" t="inlineStr" s="0">
        <is>
          <t xml:space="preserve">Medium</t>
        </is>
      </c>
      <c r="F400" s="4"/>
      <c r="G400" t="inlineStr" s="2">
        <is>
          <t xml:space="preserve">INSIGHT ist für jedes Krankenhaus oder eine andere Gesundheitseinrichtung sinnvoll, wenn es darum geht, Arbeitsprozesse sichtbar zu machen und die Kommunikation in den verschiedenen Abteilungen zu verbessern. Mit INSIGHT gelingt es, Ressourcen sowohl global als auch auf Abteilungsebenen bis hin zur einzelnen Fachkraft transparent darzustellen. Dies ermöglicht eine vorausschauende, auf Echtzeitdaten beruhende Planung.</t>
        </is>
      </c>
      <c r="H400" t="inlineStr" s="2">
        <is>
          <t xml:space="preserve">Dies ist von Haus zu Haus unterschiedlich, da jedes Krankenhaus eine andere Prozesslandschaft besitzt. Je nach Größe des Hauses bzw. der teilnehmenden Abteilungen und der bereitgestellten Ressourcen sollte mit mindestens 26 Wochen gerechnet werden. Zusätzlicher Zeitbedarf sollte einkalkuliert werden, falls individuell noch etwas für das Haus entwickelt werden soll.</t>
        </is>
      </c>
      <c r="I400" t="inlineStr" s="2">
        <is>
          <t xml:space="preserve">Grundsätzlich sollte man sich klar machen, dass eine Software-Implementierung immer etwas Neues darstellt, das erwartungsgemäß Widerstände hervorrufen kann. Eine neue Software-Lösung ist eben nicht einfach nur als IT-Produkt zu verstehen, sondern vielmehr als ein Change Management Projekt. Das heißt, ich muss mich als Krankenhaus-Entscheider*in damit auseinandersetzen, wie ich die Mitarbeiter*innen in diesem Transformationsprozess mitnehmen kann und welche Kapazitäten für das Projekt vorhanden sind.</t>
        </is>
      </c>
      <c r="J400" s="4"/>
      <c r="K400" s="2"/>
      <c r="L400" t="str" s="3">
        <f>HYPERLINK("https://www.getinge.com/de/news-und-events/neuigkeiten/gesundheitswesen/patientenfluss-managementsystem-praktische-herangehensweise/","/news-und-events/neuigkeiten/gesundheitswesen/patientenfluss-managementsystem-praktische-herangehensweise/")</f>
        <v>/news-und-events/neuigkeiten/gesundheitswesen/patientenfluss-managementsystem-praktische-herangehensweise/</v>
      </c>
    </row>
    <row r="401">
      <c r="A401" s="0">
        <v>400</v>
      </c>
      <c r="B401" t="str" s="3">
        <f>HYPERLINK("https://www.getinge.com/int/insights/updates/healthcare/when-is-a-digital-patient-flow-management-system-the-right-solution/","/insights/updates/healthcare/when-is-a-digital-patient-flow-management-system-the-right-solution/")</f>
        <v>/insights/updates/healthcare/when-is-a-digital-patient-flow-management-system-the-right-solution/</v>
      </c>
      <c r="C401" t="inlineStr" s="2">
        <is>
          <t xml:space="preserve">Mr. Cordes, for which hospitals or other healthcare facilities is an IT solution such as INSIGHT useful?</t>
        </is>
      </c>
      <c r="D401" t="inlineStr" s="2">
        <is>
          <t xml:space="preserve">Herr Cordes, für welche Krankenhäuser oder andere Gesundheitseinrichtungen ist eine IT-Lösung wie INSIGHT sinnvoll?</t>
        </is>
      </c>
      <c r="E401" t="inlineStr" s="0">
        <is>
          <t xml:space="preserve">Medium</t>
        </is>
      </c>
      <c r="F401" s="4"/>
      <c r="G401" t="inlineStr" s="2">
        <is>
          <t xml:space="preserve">Wenn ein Kunde Interesse an INSIGHT hat, wie ist bei Getinge die konkrete Herangehensweise und wie sehen die einzelnen Umsetzungsschritte aus?</t>
        </is>
      </c>
      <c r="H401" t="inlineStr" s="2">
        <is>
          <t xml:space="preserve">Wie viel Zeit muss ich für die Implementierung und die Schulung der Mitarbeiter*innen einplanen?</t>
        </is>
      </c>
      <c r="I401" t="inlineStr" s="2">
        <is>
          <t xml:space="preserve">Und im laufenden Betrieb – ist es möglich, am System noch nachzujustieren? Wie sinnvoll sind dafür regelmäßige Mitarbeiter*innen- und Patient*innen-Befragungen?</t>
        </is>
      </c>
      <c r="J401" s="4"/>
      <c r="K401" s="2"/>
      <c r="L401" t="str" s="3">
        <f>HYPERLINK("https://www.getinge.com/de/news-und-events/neuigkeiten/gesundheitswesen/patientenfluss-managementsystem-praktische-herangehensweise/","/news-und-events/neuigkeiten/gesundheitswesen/patientenfluss-managementsystem-praktische-herangehensweise/")</f>
        <v>/news-und-events/neuigkeiten/gesundheitswesen/patientenfluss-managementsystem-praktische-herangehensweise/</v>
      </c>
    </row>
    <row r="402">
      <c r="A402" s="0">
        <v>401</v>
      </c>
      <c r="B402" t="str" s="3">
        <f>HYPERLINK("https://www.getinge.com/int/insights/updates/healthcare/when-is-a-digital-patient-flow-management-system-the-right-solution/","/insights/updates/healthcare/when-is-a-digital-patient-flow-management-system-the-right-solution/")</f>
        <v>/insights/updates/healthcare/when-is-a-digital-patient-flow-management-system-the-right-solution/</v>
      </c>
      <c r="C402" t="inlineStr" s="2">
        <is>
          <t xml:space="preserve">INSIGHT is a valuable solution for any hospital or healthcare facility that aims to visualize workflows and improve communication across departments. With INSIGHT, resources can be displayed transparently – on both a global level and down to individual departments and staff members. This enables proactive planning based on real-time data.</t>
        </is>
      </c>
      <c r="D402" t="inlineStr" s="2">
        <is>
          <t xml:space="preserve">INSIGHT ist für jedes Krankenhaus oder eine andere Gesundheitseinrichtung sinnvoll, wenn es darum geht, Arbeitsprozesse sichtbar zu machen und die Kommunikation in den verschiedenen Abteilungen zu verbessern. Mit INSIGHT gelingt es, Ressourcen sowohl global als auch auf Abteilungsebenen bis hin zur einzelnen Fachkraft transparent darzustellen. Dies ermöglicht eine vorausschauende, auf Echtzeitdaten beruhende Planung.</t>
        </is>
      </c>
      <c r="E402" t="inlineStr" s="0">
        <is>
          <t xml:space="preserve">Medium</t>
        </is>
      </c>
      <c r="F402" s="4"/>
      <c r="G402" t="inlineStr" s="2">
        <is>
          <t xml:space="preserve">Wann ist ein digitales Patient*innenfluss-Managementsystem eine sinnvolle Lösung? Wie gehe ich als Entscheider und Planer konkret vor und welchen Support kann ich von Anbietern wie Getinge erwarten? Christian Cordes, Product Sales Manager im Bereich Krankenhaus IT-Lösungen, von Getinge informiert und gibt praktische Tipps zur Herangehensweise.</t>
        </is>
      </c>
      <c r="H402" t="inlineStr" s="2">
        <is>
          <t xml:space="preserve">Grundsätzlich sollte man sich klar machen, dass eine Software-Implementierung immer etwas Neues darstellt, das erwartungsgemäß Widerstände hervorrufen kann. Eine neue Software-Lösung ist eben nicht einfach nur als IT-Produkt zu verstehen, sondern vielmehr als ein Change Management Projekt. Das heißt, ich muss mich als Krankenhaus-Entscheider*in damit auseinandersetzen, wie ich die Mitarbeiter*innen in diesem Transformationsprozess mitnehmen kann und welche Kapazitäten für das Projekt vorhanden sind.</t>
        </is>
      </c>
      <c r="I402" t="inlineStr" s="2">
        <is>
          <t xml:space="preserve">Dies ist von Haus zu Haus unterschiedlich, da jedes Krankenhaus eine andere Prozesslandschaft besitzt. Je nach Größe des Hauses bzw. der teilnehmenden Abteilungen und der bereitgestellten Ressourcen sollte mit mindestens 26 Wochen gerechnet werden. Zusätzlicher Zeitbedarf sollte einkalkuliert werden, falls individuell noch etwas für das Haus entwickelt werden soll.</t>
        </is>
      </c>
      <c r="J402" s="4"/>
      <c r="K402" s="2"/>
      <c r="L402" t="str" s="3">
        <f>HYPERLINK("https://www.getinge.com/de/news-und-events/neuigkeiten/gesundheitswesen/patientenfluss-managementsystem-praktische-herangehensweise/","/news-und-events/neuigkeiten/gesundheitswesen/patientenfluss-managementsystem-praktische-herangehensweise/")</f>
        <v>/news-und-events/neuigkeiten/gesundheitswesen/patientenfluss-managementsystem-praktische-herangehensweise/</v>
      </c>
    </row>
    <row r="403">
      <c r="A403" s="0">
        <v>402</v>
      </c>
      <c r="B403" t="str" s="3">
        <f>HYPERLINK("https://www.getinge.com/int/insights/updates/healthcare/when-is-a-digital-patient-flow-management-system-the-right-solution/","/insights/updates/healthcare/when-is-a-digital-patient-flow-management-system-the-right-solution/")</f>
        <v>/insights/updates/healthcare/when-is-a-digital-patient-flow-management-system-the-right-solution/</v>
      </c>
      <c r="C403" t="inlineStr" s="2">
        <is>
          <t xml:space="preserve">What should decision-makers consider before investing in such a solution?</t>
        </is>
      </c>
      <c r="D403" t="inlineStr" s="2">
        <is>
          <t xml:space="preserve">Welche Vorüberlegungen sollte ich vor einer derartigen Investition anstellen?</t>
        </is>
      </c>
      <c r="E403" t="inlineStr" s="0">
        <is>
          <t xml:space="preserve">Medium</t>
        </is>
      </c>
      <c r="F403" s="4"/>
      <c r="G403" t="inlineStr" s="2">
        <is>
          <t xml:space="preserve">Wie viel Zeit muss ich für die Implementierung und die Schulung der Mitarbeiter*innen einplanen?</t>
        </is>
      </c>
      <c r="H403" t="inlineStr" s="2">
        <is>
          <t xml:space="preserve">Herr Cordes, für welche Krankenhäuser oder andere Gesundheitseinrichtungen ist eine IT-Lösung wie INSIGHT sinnvoll?</t>
        </is>
      </c>
      <c r="I403" t="inlineStr" s="2">
        <is>
          <t xml:space="preserve">Wenn ein Kunde Interesse an INSIGHT hat, wie ist bei Getinge die konkrete Herangehensweise und wie sehen die einzelnen Umsetzungsschritte aus?</t>
        </is>
      </c>
      <c r="J403" s="4"/>
      <c r="K403" s="2"/>
      <c r="L403" t="str" s="3">
        <f>HYPERLINK("https://www.getinge.com/de/news-und-events/neuigkeiten/gesundheitswesen/patientenfluss-managementsystem-praktische-herangehensweise/","/news-und-events/neuigkeiten/gesundheitswesen/patientenfluss-managementsystem-praktische-herangehensweise/")</f>
        <v>/news-und-events/neuigkeiten/gesundheitswesen/patientenfluss-managementsystem-praktische-herangehensweise/</v>
      </c>
    </row>
    <row r="404">
      <c r="A404" s="0">
        <v>403</v>
      </c>
      <c r="B404" t="str" s="3">
        <f>HYPERLINK("https://www.getinge.com/int/insights/updates/healthcare/when-is-a-digital-patient-flow-management-system-the-right-solution/","/insights/updates/healthcare/when-is-a-digital-patient-flow-management-system-the-right-solution/")</f>
        <v>/insights/updates/healthcare/when-is-a-digital-patient-flow-management-system-the-right-solution/</v>
      </c>
      <c r="C404" t="inlineStr" s="2">
        <is>
          <t xml:space="preserve">First, it’s important to understand that implementing software always represents a change – and change typically meets resistance. A new software solution is not just an IT product; it’s essentially a change management project. Hospital leadership must therefore consider how to engage employees in the transformation and whether the necessary internal resources are available for the project.</t>
        </is>
      </c>
      <c r="D404" t="inlineStr" s="2">
        <is>
          <t xml:space="preserve">Grundsätzlich sollte man sich klar machen, dass eine Software-Implementierung immer etwas Neues darstellt, das erwartungsgemäß Widerstände hervorrufen kann. Eine neue Software-Lösung ist eben nicht einfach nur als IT-Produkt zu verstehen, sondern vielmehr als ein Change Management Projekt. Das heißt, ich muss mich als Krankenhaus-Entscheider*in damit auseinandersetzen, wie ich die Mitarbeiter*innen in diesem Transformationsprozess mitnehmen kann und welche Kapazitäten für das Projekt vorhanden sind.</t>
        </is>
      </c>
      <c r="E404" t="inlineStr" s="0">
        <is>
          <t xml:space="preserve">Medium</t>
        </is>
      </c>
      <c r="F404" s="4"/>
      <c r="G404" t="inlineStr" s="2">
        <is>
          <t xml:space="preserve">INSIGHT ist für jedes Krankenhaus oder eine andere Gesundheitseinrichtung sinnvoll, wenn es darum geht, Arbeitsprozesse sichtbar zu machen und die Kommunikation in den verschiedenen Abteilungen zu verbessern. Mit INSIGHT gelingt es, Ressourcen sowohl global als auch auf Abteilungsebenen bis hin zur einzelnen Fachkraft transparent darzustellen. Dies ermöglicht eine vorausschauende, auf Echtzeitdaten beruhende Planung.</t>
        </is>
      </c>
      <c r="H404" t="inlineStr" s="2">
        <is>
          <t xml:space="preserve">Wann ist ein digitales Patient*innenfluss-Managementsystem eine sinnvolle Lösung? Wie gehe ich als Entscheider und Planer konkret vor und welchen Support kann ich von Anbietern wie Getinge erwarten? Christian Cordes, Product Sales Manager im Bereich Krankenhaus IT-Lösungen, von Getinge informiert und gibt praktische Tipps zur Herangehensweise.</t>
        </is>
      </c>
      <c r="I404" t="inlineStr" s="2">
        <is>
          <t xml:space="preserve">Uns von Getinge ist es wichtig zu vermitteln, dass wir nicht nur das Produkt INSIGHT verkaufen, sondern uns intensiv zusammen mit dem Kunden auseinandersetzen. Das bedeutet, vor der Implementierung ist eine primäre Prozessanalyse essenziell. Nur wenn die Prozesse sowohl vom Krankenhaus als auch von uns verstanden werden, können wir zusammen eine Verbesserung erreichen. Jedes Haus hat seine eigenen spezifischen Abläufe und bedarf daher einer individuellen Lösung, die sozusagen auf den „Leib geschneidert“ wird. Genau dafür ist INSIGHT konzipiert – nicht „von der Stange“, sondern Maßkonfektion.</t>
        </is>
      </c>
      <c r="J404" s="4"/>
      <c r="K404" s="2"/>
      <c r="L404" t="str" s="3">
        <f>HYPERLINK("https://www.getinge.com/de/news-und-events/neuigkeiten/gesundheitswesen/patientenfluss-managementsystem-praktische-herangehensweise/","/news-und-events/neuigkeiten/gesundheitswesen/patientenfluss-managementsystem-praktische-herangehensweise/")</f>
        <v>/news-und-events/neuigkeiten/gesundheitswesen/patientenfluss-managementsystem-praktische-herangehensweise/</v>
      </c>
    </row>
    <row r="405">
      <c r="A405" s="0">
        <v>404</v>
      </c>
      <c r="B405" t="str" s="3">
        <f>HYPERLINK("https://www.getinge.com/int/insights/updates/healthcare/when-is-a-digital-patient-flow-management-system-the-right-solution/","/insights/updates/healthcare/when-is-a-digital-patient-flow-management-system-the-right-solution/")</f>
        <v>/insights/updates/healthcare/when-is-a-digital-patient-flow-management-system-the-right-solution/</v>
      </c>
      <c r="C405" t="inlineStr" s="2">
        <is>
          <t xml:space="preserve">At Getinge, we emphasize that we’re not just selling a product like INSIGHT – we work closely with the customer from the very beginning. That starts with a thorough process analysis. Only when both the hospital and we understand the workflows can we work together to make meaningful improvements. Every facility has its own specific processes, which require tailored solutions. INSIGHT is designed for exactly this – custom-fit, not one-size-fits-all.</t>
        </is>
      </c>
      <c r="D405" t="inlineStr" s="2">
        <is>
          <t xml:space="preserve">Uns von Getinge ist es wichtig zu vermitteln, dass wir nicht nur das Produkt INSIGHT verkaufen, sondern uns intensiv zusammen mit dem Kunden auseinandersetzen. Das bedeutet, vor der Implementierung ist eine primäre Prozessanalyse essenziell. Nur wenn die Prozesse sowohl vom Krankenhaus als auch von uns verstanden werden, können wir zusammen eine Verbesserung erreichen. Jedes Haus hat seine eigenen spezifischen Abläufe und bedarf daher einer individuellen Lösung, die sozusagen auf den „Leib geschneidert“ wird. Genau dafür ist INSIGHT konzipiert – nicht „von der Stange“, sondern Maßkonfektion.</t>
        </is>
      </c>
      <c r="E405" t="inlineStr" s="0">
        <is>
          <t xml:space="preserve">Low</t>
        </is>
      </c>
      <c r="F405" s="4"/>
      <c r="G405" t="inlineStr" s="2">
        <is>
          <t xml:space="preserve">Grundsätzlich sollte man sich klar machen, dass eine Software-Implementierung immer etwas Neues darstellt, das erwartungsgemäß Widerstände hervorrufen kann. Eine neue Software-Lösung ist eben nicht einfach nur als IT-Produkt zu verstehen, sondern vielmehr als ein Change Management Projekt. Das heißt, ich muss mich als Krankenhaus-Entscheider*in damit auseinandersetzen, wie ich die Mitarbeiter*innen in diesem Transformationsprozess mitnehmen kann und welche Kapazitäten für das Projekt vorhanden sind.</t>
        </is>
      </c>
      <c r="H405" t="inlineStr" s="2">
        <is>
          <t xml:space="preserve">INSIGHT ist für jedes Krankenhaus oder eine andere Gesundheitseinrichtung sinnvoll, wenn es darum geht, Arbeitsprozesse sichtbar zu machen und die Kommunikation in den verschiedenen Abteilungen zu verbessern. Mit INSIGHT gelingt es, Ressourcen sowohl global als auch auf Abteilungsebenen bis hin zur einzelnen Fachkraft transparent darzustellen. Dies ermöglicht eine vorausschauende, auf Echtzeitdaten beruhende Planung.</t>
        </is>
      </c>
      <c r="I405" t="inlineStr" s="2">
        <is>
          <t xml:space="preserve">Wann ist ein digitales Patient*innenfluss-Managementsystem eine sinnvolle Lösung? Wie gehe ich als Entscheider und Planer konkret vor und welchen Support kann ich von Anbietern wie Getinge erwarten? Christian Cordes, Product Sales Manager im Bereich Krankenhaus IT-Lösungen, von Getinge informiert und gibt praktische Tipps zur Herangehensweise.</t>
        </is>
      </c>
      <c r="J405" s="4"/>
      <c r="K405" s="2"/>
      <c r="L405" t="str" s="3">
        <f>HYPERLINK("https://www.getinge.com/de/news-und-events/neuigkeiten/gesundheitswesen/patientenfluss-managementsystem-praktische-herangehensweise/","/news-und-events/neuigkeiten/gesundheitswesen/patientenfluss-managementsystem-praktische-herangehensweise/")</f>
        <v>/news-und-events/neuigkeiten/gesundheitswesen/patientenfluss-managementsystem-praktische-herangehensweise/</v>
      </c>
    </row>
    <row r="406">
      <c r="A406" s="0">
        <v>405</v>
      </c>
      <c r="B406" t="str" s="3">
        <f>HYPERLINK("https://www.getinge.com/int/insights/updates/healthcare/when-is-a-digital-patient-flow-management-system-the-right-solution/","/insights/updates/healthcare/when-is-a-digital-patient-flow-management-system-the-right-solution/")</f>
        <v>/insights/updates/healthcare/when-is-a-digital-patient-flow-management-system-the-right-solution/</v>
      </c>
      <c r="C406" t="inlineStr" s="2">
        <is>
          <t xml:space="preserve">What is Getinge's approach when a customer shows interest in INSIGHT? What are the steps involved in implementation?</t>
        </is>
      </c>
      <c r="D406" t="inlineStr" s="2">
        <is>
          <t xml:space="preserve">Wenn ein Kunde Interesse an INSIGHT hat, wie ist bei Getinge die konkrete Herangehensweise und wie sehen die einzelnen Umsetzungsschritte aus?</t>
        </is>
      </c>
      <c r="E406" t="inlineStr" s="0">
        <is>
          <t xml:space="preserve">Medium</t>
        </is>
      </c>
      <c r="F406" s="4"/>
      <c r="G406" t="inlineStr" s="2">
        <is>
          <t xml:space="preserve">Herr Cordes, für welche Krankenhäuser oder andere Gesundheitseinrichtungen ist eine IT-Lösung wie INSIGHT sinnvoll?</t>
        </is>
      </c>
      <c r="H406" t="inlineStr" s="2">
        <is>
          <t xml:space="preserve">Und im laufenden Betrieb – ist es möglich, am System noch nachzujustieren? Wie sinnvoll sind dafür regelmäßige Mitarbeiter*innen- und Patient*innen-Befragungen?</t>
        </is>
      </c>
      <c r="I406" t="inlineStr" s="2">
        <is>
          <t xml:space="preserve">Wie viel Zeit muss ich für die Implementierung und die Schulung der Mitarbeiter*innen einplanen?</t>
        </is>
      </c>
      <c r="J406" s="4"/>
      <c r="K406" s="2"/>
      <c r="L406" t="str" s="3">
        <f>HYPERLINK("https://www.getinge.com/de/news-und-events/neuigkeiten/gesundheitswesen/patientenfluss-managementsystem-praktische-herangehensweise/","/news-und-events/neuigkeiten/gesundheitswesen/patientenfluss-managementsystem-praktische-herangehensweise/")</f>
        <v>/news-und-events/neuigkeiten/gesundheitswesen/patientenfluss-managementsystem-praktische-herangehensweise/</v>
      </c>
    </row>
    <row r="407">
      <c r="A407" s="0">
        <v>406</v>
      </c>
      <c r="B407" t="str" s="3">
        <f>HYPERLINK("https://www.getinge.com/int/insights/updates/healthcare/when-is-a-digital-patient-flow-management-system-the-right-solution/","/insights/updates/healthcare/when-is-a-digital-patient-flow-management-system-the-right-solution/")</f>
        <v>/insights/updates/healthcare/when-is-a-digital-patient-flow-management-system-the-right-solution/</v>
      </c>
      <c r="C407" t="inlineStr" s="2">
        <is>
          <t xml:space="preserve">As mentioned, everything begins with an initial situation analysis. From there, we assemble workshop groups made up of representatives from different professional backgrounds to ensure a diverse range of perspectives. In these workshops, we discuss the processes identified in the baseline analysis and confirm our understanding.</t>
        </is>
      </c>
      <c r="D407" s="2"/>
      <c r="F407" s="4"/>
      <c r="G407" t="inlineStr" s="2">
        <is>
          <t xml:space="preserve">Wann ist ein digitales Patient*innenfluss-Managementsystem eine sinnvolle Lösung? Wie gehe ich als Entscheider und Planer konkret vor und welchen Support kann ich von Anbietern wie Getinge erwarten? Christian Cordes, Product Sales Manager im Bereich Krankenhaus IT-Lösungen, von Getinge informiert und gibt praktische Tipps zur Herangehensweise.</t>
        </is>
      </c>
      <c r="H407" t="inlineStr" s="2">
        <is>
          <t xml:space="preserve">INSIGHT ist für jedes Krankenhaus oder eine andere Gesundheitseinrichtung sinnvoll, wenn es darum geht, Arbeitsprozesse sichtbar zu machen und die Kommunikation in den verschiedenen Abteilungen zu verbessern. Mit INSIGHT gelingt es, Ressourcen sowohl global als auch auf Abteilungsebenen bis hin zur einzelnen Fachkraft transparent darzustellen. Dies ermöglicht eine vorausschauende, auf Echtzeitdaten beruhende Planung.</t>
        </is>
      </c>
      <c r="I407" t="inlineStr" s="2">
        <is>
          <t xml:space="preserve">Dies ist von Haus zu Haus unterschiedlich, da jedes Krankenhaus eine andere Prozesslandschaft besitzt. Je nach Größe des Hauses bzw. der teilnehmenden Abteilungen und der bereitgestellten Ressourcen sollte mit mindestens 26 Wochen gerechnet werden. Zusätzlicher Zeitbedarf sollte einkalkuliert werden, falls individuell noch etwas für das Haus entwickelt werden soll.</t>
        </is>
      </c>
      <c r="J407" s="4"/>
      <c r="K407" s="2"/>
      <c r="L407" t="str" s="3">
        <f>HYPERLINK("https://www.getinge.com/de/news-und-events/neuigkeiten/gesundheitswesen/patientenfluss-managementsystem-praktische-herangehensweise/","/news-und-events/neuigkeiten/gesundheitswesen/patientenfluss-managementsystem-praktische-herangehensweise/")</f>
        <v>/news-und-events/neuigkeiten/gesundheitswesen/patientenfluss-managementsystem-praktische-herangehensweise/</v>
      </c>
    </row>
    <row r="408">
      <c r="A408" s="0">
        <v>407</v>
      </c>
      <c r="B408" t="str" s="3">
        <f>HYPERLINK("https://www.getinge.com/int/insights/updates/healthcare/when-is-a-digital-patient-flow-management-system-the-right-solution/","/insights/updates/healthcare/when-is-a-digital-patient-flow-management-system-the-right-solution/")</f>
        <v>/insights/updates/healthcare/when-is-a-digital-patient-flow-management-system-the-right-solution/</v>
      </c>
      <c r="C408" t="inlineStr" s="2">
        <is>
          <t xml:space="preserve">Next, we develop individualized screen views, or “screens,” based on the needs of each user group. These screens are then reviewed with the users, and final adjustments are made. After that, training for the broader staff can begin, and we jointly plan the final implementation.</t>
        </is>
      </c>
      <c r="D408" s="2"/>
      <c r="F408" s="4"/>
      <c r="G408" t="inlineStr" s="2">
        <is>
          <t xml:space="preserve">Wann ist ein digitales Patient*innenfluss-Managementsystem eine sinnvolle Lösung? Wie gehe ich als Entscheider und Planer konkret vor und welchen Support kann ich von Anbietern wie Getinge erwarten? Christian Cordes, Product Sales Manager im Bereich Krankenhaus IT-Lösungen, von Getinge informiert und gibt praktische Tipps zur Herangehensweise.</t>
        </is>
      </c>
      <c r="H408" t="inlineStr" s="2">
        <is>
          <t xml:space="preserve">INSIGHT ist für jedes Krankenhaus oder eine andere Gesundheitseinrichtung sinnvoll, wenn es darum geht, Arbeitsprozesse sichtbar zu machen und die Kommunikation in den verschiedenen Abteilungen zu verbessern. Mit INSIGHT gelingt es, Ressourcen sowohl global als auch auf Abteilungsebenen bis hin zur einzelnen Fachkraft transparent darzustellen. Dies ermöglicht eine vorausschauende, auf Echtzeitdaten beruhende Planung.</t>
        </is>
      </c>
      <c r="I408" t="inlineStr" s="2">
        <is>
          <t xml:space="preserve">Dies ist von Haus zu Haus unterschiedlich, da jedes Krankenhaus eine andere Prozesslandschaft besitzt. Je nach Größe des Hauses bzw. der teilnehmenden Abteilungen und der bereitgestellten Ressourcen sollte mit mindestens 26 Wochen gerechnet werden. Zusätzlicher Zeitbedarf sollte einkalkuliert werden, falls individuell noch etwas für das Haus entwickelt werden soll.</t>
        </is>
      </c>
      <c r="J408" s="4"/>
      <c r="K408" s="2"/>
      <c r="L408" t="str" s="3">
        <f>HYPERLINK("https://www.getinge.com/de/news-und-events/neuigkeiten/gesundheitswesen/patientenfluss-managementsystem-praktische-herangehensweise/","/news-und-events/neuigkeiten/gesundheitswesen/patientenfluss-managementsystem-praktische-herangehensweise/")</f>
        <v>/news-und-events/neuigkeiten/gesundheitswesen/patientenfluss-managementsystem-praktische-herangehensweise/</v>
      </c>
    </row>
    <row r="409">
      <c r="A409" s="0">
        <v>408</v>
      </c>
      <c r="B409" t="str" s="3">
        <f>HYPERLINK("https://www.getinge.com/int/insights/updates/healthcare/when-is-a-digital-patient-flow-management-system-the-right-solution/","/insights/updates/healthcare/when-is-a-digital-patient-flow-management-system-the-right-solution/")</f>
        <v>/insights/updates/healthcare/when-is-a-digital-patient-flow-management-system-the-right-solution/</v>
      </c>
      <c r="C409" t="inlineStr" s="2">
        <is>
          <t xml:space="preserve">Alternatively, we offer a “soft launch” approach: screens are displayed in test mode ahead of the official go-live. This allows users to explore the system on their own terms, without pressure or feeling observed.</t>
        </is>
      </c>
      <c r="D409" s="2"/>
      <c r="F409" s="4"/>
      <c r="G409" t="inlineStr" s="2">
        <is>
          <t xml:space="preserve">Wann ist ein digitales Patient*innenfluss-Managementsystem eine sinnvolle Lösung? Wie gehe ich als Entscheider und Planer konkret vor und welchen Support kann ich von Anbietern wie Getinge erwarten? Christian Cordes, Product Sales Manager im Bereich Krankenhaus IT-Lösungen, von Getinge informiert und gibt praktische Tipps zur Herangehensweise.</t>
        </is>
      </c>
      <c r="H409" t="inlineStr" s="2">
        <is>
          <t xml:space="preserve">Und im laufenden Betrieb – ist es möglich, am System noch nachzujustieren? Wie sinnvoll sind dafür regelmäßige Mitarbeiter*innen- und Patient*innen-Befragungen?</t>
        </is>
      </c>
      <c r="I409" t="inlineStr" s="2">
        <is>
          <t xml:space="preserve">Wenn ein Kunde Interesse an INSIGHT hat, wie ist bei Getinge die konkrete Herangehensweise und wie sehen die einzelnen Umsetzungsschritte aus?</t>
        </is>
      </c>
      <c r="J409" s="4"/>
      <c r="K409" s="2"/>
      <c r="L409" t="str" s="3">
        <f>HYPERLINK("https://www.getinge.com/de/news-und-events/neuigkeiten/gesundheitswesen/patientenfluss-managementsystem-praktische-herangehensweise/","/news-und-events/neuigkeiten/gesundheitswesen/patientenfluss-managementsystem-praktische-herangehensweise/")</f>
        <v>/news-und-events/neuigkeiten/gesundheitswesen/patientenfluss-managementsystem-praktische-herangehensweise/</v>
      </c>
    </row>
    <row r="410">
      <c r="A410" s="0">
        <v>409</v>
      </c>
      <c r="B410" t="str" s="3">
        <f>HYPERLINK("https://www.getinge.com/int/insights/updates/healthcare/when-is-a-digital-patient-flow-management-system-the-right-solution/","/insights/updates/healthcare/when-is-a-digital-patient-flow-management-system-the-right-solution/")</f>
        <v>/insights/updates/healthcare/when-is-a-digital-patient-flow-management-system-the-right-solution/</v>
      </c>
      <c r="C410" t="inlineStr" s="2">
        <is>
          <t xml:space="preserve">How much time should I plan for implementation and staff training?</t>
        </is>
      </c>
      <c r="D410" t="inlineStr" s="2">
        <is>
          <t xml:space="preserve">Wie viel Zeit muss ich für die Implementierung und die Schulung der Mitarbeiter*innen einplanen?</t>
        </is>
      </c>
      <c r="E410" t="inlineStr" s="0">
        <is>
          <t xml:space="preserve">Low</t>
        </is>
      </c>
      <c r="F410" s="4"/>
      <c r="G410" t="inlineStr" s="2">
        <is>
          <t xml:space="preserve">Welche Vorüberlegungen sollte ich vor einer derartigen Investition anstellen?</t>
        </is>
      </c>
      <c r="H410" t="inlineStr" s="2">
        <is>
          <t xml:space="preserve">Herr Cordes, für welche Krankenhäuser oder andere Gesundheitseinrichtungen ist eine IT-Lösung wie INSIGHT sinnvoll?</t>
        </is>
      </c>
      <c r="I410" s="2"/>
      <c r="J410" s="4"/>
      <c r="K410" s="2"/>
      <c r="L410" t="str" s="3">
        <f>HYPERLINK("https://www.getinge.com/de/news-und-events/neuigkeiten/gesundheitswesen/patientenfluss-managementsystem-praktische-herangehensweise/","/news-und-events/neuigkeiten/gesundheitswesen/patientenfluss-managementsystem-praktische-herangehensweise/")</f>
        <v>/news-und-events/neuigkeiten/gesundheitswesen/patientenfluss-managementsystem-praktische-herangehensweise/</v>
      </c>
    </row>
    <row r="411">
      <c r="A411" s="0">
        <v>410</v>
      </c>
      <c r="B411" t="str" s="3">
        <f>HYPERLINK("https://www.getinge.com/int/insights/updates/healthcare/when-is-a-digital-patient-flow-management-system-the-right-solution/","/insights/updates/healthcare/when-is-a-digital-patient-flow-management-system-the-right-solution/")</f>
        <v>/insights/updates/healthcare/when-is-a-digital-patient-flow-management-system-the-right-solution/</v>
      </c>
      <c r="C411" t="inlineStr" s="2">
        <is>
          <t xml:space="preserve">Once in operation, is it possible to adjust the system further? Are regular staff and patient surveys useful for this?</t>
        </is>
      </c>
      <c r="D411" t="inlineStr" s="2">
        <is>
          <t xml:space="preserve">Und im laufenden Betrieb – ist es möglich, am System noch nachzujustieren? Wie sinnvoll sind dafür regelmäßige Mitarbeiter*innen- und Patient*innen-Befragungen?</t>
        </is>
      </c>
      <c r="E411" t="inlineStr" s="0">
        <is>
          <t xml:space="preserve">Low</t>
        </is>
      </c>
      <c r="F411" s="4"/>
      <c r="G411" t="inlineStr" s="2">
        <is>
          <t xml:space="preserve">Wenn ein Kunde Interesse an INSIGHT hat, wie ist bei Getinge die konkrete Herangehensweise und wie sehen die einzelnen Umsetzungsschritte aus?</t>
        </is>
      </c>
      <c r="H411" t="inlineStr" s="2">
        <is>
          <t xml:space="preserve">Herr Cordes, für welche Krankenhäuser oder andere Gesundheitseinrichtungen ist eine IT-Lösung wie INSIGHT sinnvoll?</t>
        </is>
      </c>
      <c r="I411" t="inlineStr" s="2">
        <is>
          <t xml:space="preserve">Wie viel Zeit muss ich für die Implementierung und die Schulung der Mitarbeiter*innen einplanen?</t>
        </is>
      </c>
      <c r="J411" s="4"/>
      <c r="K411" s="2"/>
      <c r="L411" t="str" s="3">
        <f>HYPERLINK("https://www.getinge.com/de/news-und-events/neuigkeiten/gesundheitswesen/patientenfluss-managementsystem-praktische-herangehensweise/","/news-und-events/neuigkeiten/gesundheitswesen/patientenfluss-managementsystem-praktische-herangehensweise/")</f>
        <v>/news-und-events/neuigkeiten/gesundheitswesen/patientenfluss-managementsystem-praktische-herangehensweise/</v>
      </c>
    </row>
    <row r="412">
      <c r="A412" s="0">
        <v>411</v>
      </c>
      <c r="B412" t="str" s="3">
        <f>HYPERLINK("https://www.getinge.com/int/insights/updates/healthcare/when-is-a-digital-patient-flow-management-system-the-right-solution/","/insights/updates/healthcare/when-is-a-digital-patient-flow-management-system-the-right-solution/")</f>
        <v>/insights/updates/healthcare/when-is-a-digital-patient-flow-management-system-the-right-solution/</v>
      </c>
      <c r="C412" t="inlineStr" s="2">
        <is>
          <t xml:space="preserve">Absolutely – it’s not just possible, it’s encouraged. Our partnership approach means that INSIGHT continues to evolve with the customer. As users become more familiar with INSIGHT, the system also adapts to their specific needs and preferences. Our solution is flexible and scalable, with adjustments that can be made either by Getinge’s specialists or by trained staff on the client side.</t>
        </is>
      </c>
      <c r="D412" s="2"/>
      <c r="F412" s="4"/>
      <c r="G412" t="inlineStr" s="2">
        <is>
          <t xml:space="preserve">INSIGHT ist für jedes Krankenhaus oder eine andere Gesundheitseinrichtung sinnvoll, wenn es darum geht, Arbeitsprozesse sichtbar zu machen und die Kommunikation in den verschiedenen Abteilungen zu verbessern. Mit INSIGHT gelingt es, Ressourcen sowohl global als auch auf Abteilungsebenen bis hin zur einzelnen Fachkraft transparent darzustellen. Dies ermöglicht eine vorausschauende, auf Echtzeitdaten beruhende Planung.</t>
        </is>
      </c>
      <c r="H412" t="inlineStr" s="2">
        <is>
          <t xml:space="preserve">Grundsätzlich sollte man sich klar machen, dass eine Software-Implementierung immer etwas Neues darstellt, das erwartungsgemäß Widerstände hervorrufen kann. Eine neue Software-Lösung ist eben nicht einfach nur als IT-Produkt zu verstehen, sondern vielmehr als ein Change Management Projekt. Das heißt, ich muss mich als Krankenhaus-Entscheider*in damit auseinandersetzen, wie ich die Mitarbeiter*innen in diesem Transformationsprozess mitnehmen kann und welche Kapazitäten für das Projekt vorhanden sind.</t>
        </is>
      </c>
      <c r="I412" t="inlineStr" s="2">
        <is>
          <t xml:space="preserve">Wann ist ein digitales Patient*innenfluss-Managementsystem eine sinnvolle Lösung? Wie gehe ich als Entscheider und Planer konkret vor und welchen Support kann ich von Anbietern wie Getinge erwarten? Christian Cordes, Product Sales Manager im Bereich Krankenhaus IT-Lösungen, von Getinge informiert und gibt praktische Tipps zur Herangehensweise.</t>
        </is>
      </c>
      <c r="J412" s="4"/>
      <c r="K412" s="2"/>
      <c r="L412" t="str" s="3">
        <f>HYPERLINK("https://www.getinge.com/de/news-und-events/neuigkeiten/gesundheitswesen/patientenfluss-managementsystem-praktische-herangehensweise/","/news-und-events/neuigkeiten/gesundheitswesen/patientenfluss-managementsystem-praktische-herangehensweise/")</f>
        <v>/news-und-events/neuigkeiten/gesundheitswesen/patientenfluss-managementsystem-praktische-herangehensweise/</v>
      </c>
    </row>
    <row r="413">
      <c r="A413" s="0">
        <v>412</v>
      </c>
      <c r="B413" t="str" s="3">
        <f>HYPERLINK("https://www.getinge.com/int/insights/updates/healthcare/when-is-a-digital-patient-flow-management-system-the-right-solution/","/insights/updates/healthcare/when-is-a-digital-patient-flow-management-system-the-right-solution/")</f>
        <v>/insights/updates/healthcare/when-is-a-digital-patient-flow-management-system-the-right-solution/</v>
      </c>
      <c r="C413" t="inlineStr" s="2">
        <is>
          <t xml:space="preserve">To support ongoing optimization, we recommend regular user group meetings after implementation. These sessions allow for discussion of suggestions for improvement or necessary adjustments. Our ultimate goals are to increase staff satisfaction, enhance patient safety, and boost efficiency.</t>
        </is>
      </c>
      <c r="D413" s="2"/>
      <c r="F413" s="4"/>
      <c r="G413" t="inlineStr" s="2">
        <is>
          <t xml:space="preserve">Wann ist ein digitales Patient*innenfluss-Managementsystem eine sinnvolle Lösung? Wie gehe ich als Entscheider und Planer konkret vor und welchen Support kann ich von Anbietern wie Getinge erwarten? Christian Cordes, Product Sales Manager im Bereich Krankenhaus IT-Lösungen, von Getinge informiert und gibt praktische Tipps zur Herangehensweise.</t>
        </is>
      </c>
      <c r="H413" t="inlineStr" s="2">
        <is>
          <t xml:space="preserve">INSIGHT ist für jedes Krankenhaus oder eine andere Gesundheitseinrichtung sinnvoll, wenn es darum geht, Arbeitsprozesse sichtbar zu machen und die Kommunikation in den verschiedenen Abteilungen zu verbessern. Mit INSIGHT gelingt es, Ressourcen sowohl global als auch auf Abteilungsebenen bis hin zur einzelnen Fachkraft transparent darzustellen. Dies ermöglicht eine vorausschauende, auf Echtzeitdaten beruhende Planung.</t>
        </is>
      </c>
      <c r="I413" t="inlineStr" s="2">
        <is>
          <t xml:space="preserve">Dies ist von Haus zu Haus unterschiedlich, da jedes Krankenhaus eine andere Prozesslandschaft besitzt. Je nach Größe des Hauses bzw. der teilnehmenden Abteilungen und der bereitgestellten Ressourcen sollte mit mindestens 26 Wochen gerechnet werden. Zusätzlicher Zeitbedarf sollte einkalkuliert werden, falls individuell noch etwas für das Haus entwickelt werden soll.</t>
        </is>
      </c>
      <c r="J413" s="4"/>
      <c r="K413" s="2"/>
      <c r="L413" t="str" s="3">
        <f>HYPERLINK("https://www.getinge.com/de/news-und-events/neuigkeiten/gesundheitswesen/patientenfluss-managementsystem-praktische-herangehensweise/","/news-und-events/neuigkeiten/gesundheitswesen/patientenfluss-managementsystem-praktische-herangehensweise/")</f>
        <v>/news-und-events/neuigkeiten/gesundheitswesen/patientenfluss-managementsystem-praktische-herangehensweise/</v>
      </c>
    </row>
    <row r="414">
      <c r="A414" s="0">
        <v>413</v>
      </c>
      <c r="B414" t="str" s="3">
        <f>HYPERLINK("https://www.getinge.com/int/insights/updates/healthcare/why-advanced-hemodynamic-monitoring/","/insights/updates/healthcare/why-advanced-hemodynamic-monitoring/")</f>
        <v>/insights/updates/healthcare/why-advanced-hemodynamic-monitoring/</v>
      </c>
      <c r="C414" t="inlineStr" s="2">
        <is>
          <t xml:space="preserve">The lives of critically ill patients with hemodynamic instability depend on the right decision regarding the next therapeutic step. Advanced hemodynamic monitoring helps to identify targeted and patient-individualized therapy.</t>
        </is>
      </c>
      <c r="D414" t="inlineStr" s="2">
        <is>
          <t xml:space="preserve">Das Leben kritisch kranker Patient*innen mit hämodynamischer Instabilität hängt von der richtigen Entscheidung über den nächsten therapeutischen Schritt ab. Das erweiterte hämodynamische Monitoring hilft dabei, eine zielgerichtete und patienten-individuelle Therapie zu finden.</t>
        </is>
      </c>
      <c r="E414" t="inlineStr" s="0">
        <is>
          <t xml:space="preserve">Medium</t>
        </is>
      </c>
      <c r="F414" s="4"/>
      <c r="G414" t="inlineStr" s="2">
        <is>
          <t xml:space="preserve">Das Monitoring physiologischer Parameter der Herz-Kreislauf-Funktion ist ein entscheidender Faktor für das zielgerichtete Management kritisch kranker Patient*innen.</t>
        </is>
      </c>
      <c r="H414" t="inlineStr" s="2">
        <is>
          <t xml:space="preserve">Darüber hinaus ermöglicht der extravaskuläre Lungenwasserindex (ELWI) eine bettseitige Einschätzung von Lungenödemen, sodass frühzeitig eine therapeutische Intervention eingeleitet werden kann[1][2][3].</t>
        </is>
      </c>
      <c r="I414" t="inlineStr" s="2">
        <is>
          <t xml:space="preserve">Das Basismonitoring stößt bei hämodynamischer Instabilität aufgrund von Organversagen oder größeren Operationen an seine Grenzen. In solchen Fällen kann sich der Patientenstatus innerhalb kürzester Zeit rapide verändern. Für eine differenzierte Beurteilung der Kreislaufsituation, reichen die Standardparameter EKG, Blutdruckmessung und Pulsoxymetrie nicht mehr aus, um Herzzeitvolumen (HZV) und Sauerstofftransport für eine zielgerichtete, patienten-individuelle Therapie sicher einzuschätzen.</t>
        </is>
      </c>
      <c r="J414" s="4"/>
      <c r="K414" s="2"/>
      <c r="L414" t="str" s="3">
        <f>HYPERLINK("https://www.getinge.com/de/news-und-events/neuigkeiten/gesundheitswesen/warum-erweitertes-hamodynamisches-monitoring/","/news-und-events/neuigkeiten/gesundheitswesen/warum-erweitertes-hamodynamisches-monitoring/")</f>
        <v>/news-und-events/neuigkeiten/gesundheitswesen/warum-erweitertes-hamodynamisches-monitoring/</v>
      </c>
    </row>
    <row r="415">
      <c r="A415" s="0">
        <v>414</v>
      </c>
      <c r="B415" t="str" s="3">
        <f>HYPERLINK("https://www.getinge.com/int/insights/updates/healthcare/why-advanced-hemodynamic-monitoring/","/insights/updates/healthcare/why-advanced-hemodynamic-monitoring/")</f>
        <v>/insights/updates/healthcare/why-advanced-hemodynamic-monitoring/</v>
      </c>
      <c r="C415" t="inlineStr" s="2">
        <is>
          <t xml:space="preserve">Limitations of Basic Monitoring</t>
        </is>
      </c>
      <c r="D415" t="inlineStr" s="2">
        <is>
          <t xml:space="preserve">Grenzen des Basismonitorings</t>
        </is>
      </c>
      <c r="E415" t="inlineStr" s="0">
        <is>
          <t xml:space="preserve">Medium</t>
        </is>
      </c>
      <c r="F415" s="4"/>
      <c r="G415" t="inlineStr" s="2">
        <is>
          <t xml:space="preserve">Warum erweitertes hämodynamisches Monitoring?</t>
        </is>
      </c>
      <c r="H415" t="inlineStr" s="2">
        <is>
          <t xml:space="preserve">Entwickelt der Patient ein Lungenödem?</t>
        </is>
      </c>
      <c r="I415" t="inlineStr" s="2">
        <is>
          <t xml:space="preserve">Wie ist die kardiale Vor- und Nachlast?</t>
        </is>
      </c>
      <c r="J415" s="4"/>
      <c r="K415" s="2"/>
      <c r="L415" t="str" s="3">
        <f>HYPERLINK("https://www.getinge.com/de/news-und-events/neuigkeiten/gesundheitswesen/warum-erweitertes-hamodynamisches-monitoring/","/news-und-events/neuigkeiten/gesundheitswesen/warum-erweitertes-hamodynamisches-monitoring/")</f>
        <v>/news-und-events/neuigkeiten/gesundheitswesen/warum-erweitertes-hamodynamisches-monitoring/</v>
      </c>
    </row>
    <row r="416">
      <c r="A416" s="0">
        <v>415</v>
      </c>
      <c r="B416" t="str" s="3">
        <f>HYPERLINK("https://www.getinge.com/int/insights/updates/healthcare/why-advanced-hemodynamic-monitoring/","/insights/updates/healthcare/why-advanced-hemodynamic-monitoring/")</f>
        <v>/insights/updates/healthcare/why-advanced-hemodynamic-monitoring/</v>
      </c>
      <c r="C416" t="inlineStr" s="2">
        <is>
          <t xml:space="preserve">Monitoring physiological parameters of cardiovascular function is a decisive factor for a goal-directed management of critically ill patients.</t>
        </is>
      </c>
      <c r="D416" t="inlineStr" s="2">
        <is>
          <t xml:space="preserve">Das Monitoring physiologischer Parameter der Herz-Kreislauf-Funktion ist ein entscheidender Faktor für das zielgerichtete Management kritisch kranker Patient*innen.</t>
        </is>
      </c>
      <c r="E416" t="inlineStr" s="0">
        <is>
          <t xml:space="preserve">High</t>
        </is>
      </c>
      <c r="F416" s="4"/>
      <c r="G416" t="inlineStr" s="2">
        <is>
          <t xml:space="preserve">Das Leben kritisch kranker Patient*innen mit hämodynamischer Instabilität hängt von der richtigen Entscheidung über den nächsten therapeutischen Schritt ab. Das erweiterte hämodynamische Monitoring hilft dabei, eine zielgerichtete und patienten-individuelle Therapie zu finden.</t>
        </is>
      </c>
      <c r="H416" t="inlineStr" s="2">
        <is>
          <t xml:space="preserve">Darüber hinaus ermöglicht der extravaskuläre Lungenwasserindex (ELWI) eine bettseitige Einschätzung von Lungenödemen, sodass frühzeitig eine therapeutische Intervention eingeleitet werden kann[1][2][3].</t>
        </is>
      </c>
      <c r="I416" t="inlineStr" s="2">
        <is>
          <t xml:space="preserve">Das erweiterte hämodynamische Monitoring ermöglicht Antworten auf folgende Fragen:</t>
        </is>
      </c>
      <c r="J416" s="4"/>
      <c r="K416" s="2"/>
      <c r="L416" t="str" s="3">
        <f>HYPERLINK("https://www.getinge.com/de/news-und-events/neuigkeiten/gesundheitswesen/warum-erweitertes-hamodynamisches-monitoring/","/news-und-events/neuigkeiten/gesundheitswesen/warum-erweitertes-hamodynamisches-monitoring/")</f>
        <v>/news-und-events/neuigkeiten/gesundheitswesen/warum-erweitertes-hamodynamisches-monitoring/</v>
      </c>
    </row>
    <row r="417">
      <c r="A417" s="0">
        <v>416</v>
      </c>
      <c r="B417" t="str" s="3">
        <f>HYPERLINK("https://www.getinge.com/int/insights/updates/healthcare/why-advanced-hemodynamic-monitoring/","/insights/updates/healthcare/why-advanced-hemodynamic-monitoring/")</f>
        <v>/insights/updates/healthcare/why-advanced-hemodynamic-monitoring/</v>
      </c>
      <c r="C417" t="inlineStr" s="2">
        <is>
          <t xml:space="preserve">Basic monitoring reaches its limits in cases of hemodynamic instability caused by organ failure or major surgical procedures. In such situations, a patient's condition can deteriorate rapidly within a very short time. For a differentiated assessment of the circulatory situation, standard parameters such as ECG, blood pressure measurement, and pulse oximetry are no longer sufficient to reliably evaluate cardiac output (CO) and oxygen transport for targeted, individualized therapy.</t>
        </is>
      </c>
      <c r="D417" t="inlineStr" s="2">
        <is>
          <t xml:space="preserve">Das Basismonitoring stößt bei hämodynamischer Instabilität aufgrund von Organversagen oder größeren Operationen an seine Grenzen. In solchen Fällen kann sich der Patientenstatus innerhalb kürzester Zeit rapide verändern. Für eine differenzierte Beurteilung der Kreislaufsituation, reichen die Standardparameter EKG, Blutdruckmessung und Pulsoxymetrie nicht mehr aus, um Herzzeitvolumen (HZV) und Sauerstofftransport für eine zielgerichtete, patienten-individuelle Therapie sicher einzuschätzen.</t>
        </is>
      </c>
      <c r="E417" t="inlineStr" s="0">
        <is>
          <t xml:space="preserve">Medium</t>
        </is>
      </c>
      <c r="F417" s="4"/>
      <c r="G417" t="inlineStr" s="2">
        <is>
          <t xml:space="preserve">Das erweiterte hämodynamische Monitoring liefert zusätzliche und wesentlich präzisere Informationen über das Herz-Kreislauf-System wie Blutfluss, Volumenstatus, Gefäßtonus und kardiale Funktionen. Durch die kontinuierliche Überwachung und Analyse der Form und der Fläche unter der arteriellen Druckkurve (Pulskonturanalyse), der strukturellen und mechanischen Eigenschaften des Gefäßsystems und der physikalischen Eigenschaften des Blutes kann zu jeder Zeit eine differenzierte Beurteilung der Kreislaufsituation erfolgen und eine zielgerichtete Therapie eingeleitet werden.</t>
        </is>
      </c>
      <c r="H417" t="inlineStr" s="2">
        <is>
          <t xml:space="preserve">Prof. Dr. Bernd Christopher Saugel vom UKE Hamburg erklärt: „Während das hämodynamische Basismonitoring mit der Erfassung von Herzfrequenz, Blutdruck und weiteren Druckparametern im Wesentlichen die Funktion eines Sicherheitsmonitorings erfüllt, dient das erweiterte hämodynamische Monitoring dazu, Störungen der Homöostase aufzudecken, noch bevor die Vitalfunktionen beeinträchtigt werden." Nur auf Basis dieser erweiterten Parameter und spezieller Monitoring-Technologien ist eine gezielte Therapiesteuerung und somit ein hämodynamisches Management, möglich[4].</t>
        </is>
      </c>
      <c r="I417" t="inlineStr" s="2">
        <is>
          <t xml:space="preserve">Durch den Einsatz von erweitertem hämodynamischem Monitoring sind Ärzt*innen jederzeit über Veränderungen im Zustand des Patienten informiert. Dadurch kann die Behandlung sofort und zielgerichtet angepasst und eine patientenindividuelle Therapie unter optimaler Nutzung von Volumen, Inotropika und vasoaktiven Substanzen durchgeführt werden. Seit langem zeigen klinische Evidenzen, dass eine hämodynamische Optimierung im Rahmen einer zielgerichteten Therapie („Early Goal-Directed Therapy“, EGDT) Komplikationen und Morbidität reduziert, die Aufenthaltsdauer reduziert und Kosten einspart[5][6][7].</t>
        </is>
      </c>
      <c r="J417" s="4"/>
      <c r="K417" s="2"/>
      <c r="L417" t="str" s="3">
        <f>HYPERLINK("https://www.getinge.com/de/news-und-events/neuigkeiten/gesundheitswesen/warum-erweitertes-hamodynamisches-monitoring/","/news-und-events/neuigkeiten/gesundheitswesen/warum-erweitertes-hamodynamisches-monitoring/")</f>
        <v>/news-und-events/neuigkeiten/gesundheitswesen/warum-erweitertes-hamodynamisches-monitoring/</v>
      </c>
    </row>
    <row r="418">
      <c r="A418" s="0">
        <v>417</v>
      </c>
      <c r="B418" t="str" s="3">
        <f>HYPERLINK("https://www.getinge.com/int/insights/updates/healthcare/why-advanced-hemodynamic-monitoring/","/insights/updates/healthcare/why-advanced-hemodynamic-monitoring/")</f>
        <v>/insights/updates/healthcare/why-advanced-hemodynamic-monitoring/</v>
      </c>
      <c r="C418" t="inlineStr" s="2">
        <is>
          <t xml:space="preserve">More differentiated assessment through advanced hemodynamic monitoring</t>
        </is>
      </c>
      <c r="D418" t="inlineStr" s="2">
        <is>
          <t xml:space="preserve">Differenziertere Beurteilung durch erweitertes hämodynamisches Monitoring</t>
        </is>
      </c>
      <c r="E418" t="inlineStr" s="0">
        <is>
          <t xml:space="preserve">Medium</t>
        </is>
      </c>
      <c r="F418" s="4"/>
      <c r="G418" t="inlineStr" s="2">
        <is>
          <t xml:space="preserve">Das erweiterte hämodynamische Monitoring ermöglicht Antworten auf folgende Fragen:</t>
        </is>
      </c>
      <c r="H418" t="inlineStr" s="2">
        <is>
          <t xml:space="preserve">Führt eine Erhöhung der Vorlast zu einem höheren HZV (reagiert der Patient auf Flüssigkeitsgabe)?</t>
        </is>
      </c>
      <c r="I418" t="inlineStr" s="2">
        <is>
          <t xml:space="preserve">Warum erweitertes hämodynamisches Monitoring?</t>
        </is>
      </c>
      <c r="J418" s="4"/>
      <c r="K418" s="2"/>
      <c r="L418" t="str" s="3">
        <f>HYPERLINK("https://www.getinge.com/de/news-und-events/neuigkeiten/gesundheitswesen/warum-erweitertes-hamodynamisches-monitoring/","/news-und-events/neuigkeiten/gesundheitswesen/warum-erweitertes-hamodynamisches-monitoring/")</f>
        <v>/news-und-events/neuigkeiten/gesundheitswesen/warum-erweitertes-hamodynamisches-monitoring/</v>
      </c>
    </row>
    <row r="419">
      <c r="A419" s="0">
        <v>418</v>
      </c>
      <c r="B419" t="str" s="3">
        <f>HYPERLINK("https://www.getinge.com/int/insights/updates/healthcare/why-advanced-hemodynamic-monitoring/","/insights/updates/healthcare/why-advanced-hemodynamic-monitoring/")</f>
        <v>/insights/updates/healthcare/why-advanced-hemodynamic-monitoring/</v>
      </c>
      <c r="C419" t="inlineStr" s="2">
        <is>
          <t xml:space="preserve">Advanced hemodynamic monitoring enables answers to the following questions:</t>
        </is>
      </c>
      <c r="D419" t="inlineStr" s="2">
        <is>
          <t xml:space="preserve">Das erweiterte hämodynamische Monitoring ermöglicht Antworten auf folgende Fragen:</t>
        </is>
      </c>
      <c r="E419" t="inlineStr" s="0">
        <is>
          <t xml:space="preserve">Medium</t>
        </is>
      </c>
      <c r="F419" s="4"/>
      <c r="G419" t="inlineStr" s="2">
        <is>
          <t xml:space="preserve">Differenziertere Beurteilung durch erweitertes hämodynamisches Monitoring</t>
        </is>
      </c>
      <c r="H419" t="inlineStr" s="2">
        <is>
          <t xml:space="preserve">Führt eine Erhöhung der Vorlast zu einem höheren HZV (reagiert der Patient auf Flüssigkeitsgabe)?</t>
        </is>
      </c>
      <c r="I419" t="inlineStr" s="2">
        <is>
          <t xml:space="preserve">Warum erweitertes hämodynamisches Monitoring?</t>
        </is>
      </c>
      <c r="J419" s="4"/>
      <c r="K419" s="2"/>
      <c r="L419" t="str" s="3">
        <f>HYPERLINK("https://www.getinge.com/de/news-und-events/neuigkeiten/gesundheitswesen/warum-erweitertes-hamodynamisches-monitoring/","/news-und-events/neuigkeiten/gesundheitswesen/warum-erweitertes-hamodynamisches-monitoring/")</f>
        <v>/news-und-events/neuigkeiten/gesundheitswesen/warum-erweitertes-hamodynamisches-monitoring/</v>
      </c>
    </row>
    <row r="420">
      <c r="A420" s="0">
        <v>419</v>
      </c>
      <c r="B420" t="str" s="3">
        <f>HYPERLINK("https://www.getinge.com/int/insights/updates/healthcare/why-advanced-hemodynamic-monitoring/","/insights/updates/healthcare/why-advanced-hemodynamic-monitoring/")</f>
        <v>/insights/updates/healthcare/why-advanced-hemodynamic-monitoring/</v>
      </c>
      <c r="C420" t="inlineStr" s="2">
        <is>
          <t xml:space="preserve">What is the current cardiovascular status?</t>
        </is>
      </c>
      <c r="D420" t="inlineStr" s="2">
        <is>
          <t xml:space="preserve">Wie ist die aktuelle kardiovaskuläre Situation?</t>
        </is>
      </c>
      <c r="E420" t="inlineStr" s="0">
        <is>
          <t xml:space="preserve">Medium</t>
        </is>
      </c>
      <c r="F420" s="4"/>
      <c r="G420" t="inlineStr" s="2">
        <is>
          <t xml:space="preserve">Wie ist die kardiale Vor- und Nachlast?</t>
        </is>
      </c>
      <c r="H420" t="inlineStr" s="2">
        <is>
          <t xml:space="preserve">Besteht das Risiko einer Volumenüberladung?</t>
        </is>
      </c>
      <c r="I420" t="inlineStr" s="2">
        <is>
          <t xml:space="preserve">Soll Volumen oder sollen Katecholamine verabreicht werden?</t>
        </is>
      </c>
      <c r="J420" s="4"/>
      <c r="K420" s="2"/>
      <c r="L420" t="str" s="3">
        <f>HYPERLINK("https://www.getinge.com/de/news-und-events/neuigkeiten/gesundheitswesen/warum-erweitertes-hamodynamisches-monitoring/","/news-und-events/neuigkeiten/gesundheitswesen/warum-erweitertes-hamodynamisches-monitoring/")</f>
        <v>/news-und-events/neuigkeiten/gesundheitswesen/warum-erweitertes-hamodynamisches-monitoring/</v>
      </c>
    </row>
    <row r="421">
      <c r="A421" s="0">
        <v>420</v>
      </c>
      <c r="B421" t="str" s="3">
        <f>HYPERLINK("https://www.getinge.com/int/insights/updates/healthcare/why-advanced-hemodynamic-monitoring/","/insights/updates/healthcare/why-advanced-hemodynamic-monitoring/")</f>
        <v>/insights/updates/healthcare/why-advanced-hemodynamic-monitoring/</v>
      </c>
      <c r="C421" t="inlineStr" s="2">
        <is>
          <t xml:space="preserve">What are the cardiac preload and afterload?</t>
        </is>
      </c>
      <c r="D421" t="inlineStr" s="2">
        <is>
          <t xml:space="preserve">Wie ist die kardiale Vor- und Nachlast?</t>
        </is>
      </c>
      <c r="E421" t="inlineStr" s="0">
        <is>
          <t xml:space="preserve">Medium</t>
        </is>
      </c>
      <c r="F421" s="4"/>
      <c r="G421" t="inlineStr" s="2">
        <is>
          <t xml:space="preserve">Wie ist die aktuelle kardiovaskuläre Situation?</t>
        </is>
      </c>
      <c r="H421" t="inlineStr" s="2">
        <is>
          <t xml:space="preserve">Besteht das Risiko einer Volumenüberladung?</t>
        </is>
      </c>
      <c r="I421" t="inlineStr" s="2">
        <is>
          <t xml:space="preserve">Soll Volumen oder sollen Katecholamine verabreicht werden?</t>
        </is>
      </c>
      <c r="J421" s="4"/>
      <c r="K421" s="2"/>
      <c r="L421" t="str" s="3">
        <f>HYPERLINK("https://www.getinge.com/de/news-und-events/neuigkeiten/gesundheitswesen/warum-erweitertes-hamodynamisches-monitoring/","/news-und-events/neuigkeiten/gesundheitswesen/warum-erweitertes-hamodynamisches-monitoring/")</f>
        <v>/news-und-events/neuigkeiten/gesundheitswesen/warum-erweitertes-hamodynamisches-monitoring/</v>
      </c>
    </row>
    <row r="422">
      <c r="A422" s="0">
        <v>421</v>
      </c>
      <c r="B422" t="str" s="3">
        <f>HYPERLINK("https://www.getinge.com/int/insights/updates/healthcare/why-advanced-hemodynamic-monitoring/","/insights/updates/healthcare/why-advanced-hemodynamic-monitoring/")</f>
        <v>/insights/updates/healthcare/why-advanced-hemodynamic-monitoring/</v>
      </c>
      <c r="C422" t="inlineStr" s="2">
        <is>
          <t xml:space="preserve">Will an increase in preload result in higher cardiac output (does the patient respond to fluid administration)?</t>
        </is>
      </c>
      <c r="D422" s="2"/>
      <c r="F422" s="4"/>
      <c r="G422" t="inlineStr" s="2">
        <is>
          <t xml:space="preserve">Führt eine Erhöhung der Vorlast zu einem höheren HZV (reagiert der Patient auf Flüssigkeitsgabe)?</t>
        </is>
      </c>
      <c r="H422" t="inlineStr" s="2">
        <is>
          <t xml:space="preserve">Das Monitoring physiologischer Parameter der Herz-Kreislauf-Funktion ist ein entscheidender Faktor für das zielgerichtete Management kritisch kranker Patient*innen.</t>
        </is>
      </c>
      <c r="I422" t="inlineStr" s="2">
        <is>
          <t xml:space="preserve">Wie ist die kardiale Vor- und Nachlast?</t>
        </is>
      </c>
      <c r="J422" s="4"/>
      <c r="K422" s="2"/>
      <c r="L422" t="str" s="3">
        <f>HYPERLINK("https://www.getinge.com/de/news-und-events/neuigkeiten/gesundheitswesen/warum-erweitertes-hamodynamisches-monitoring/","/news-und-events/neuigkeiten/gesundheitswesen/warum-erweitertes-hamodynamisches-monitoring/")</f>
        <v>/news-und-events/neuigkeiten/gesundheitswesen/warum-erweitertes-hamodynamisches-monitoring/</v>
      </c>
    </row>
    <row r="423">
      <c r="A423" s="0">
        <v>422</v>
      </c>
      <c r="B423" t="str" s="3">
        <f>HYPERLINK("https://www.getinge.com/int/insights/updates/healthcare/why-advanced-hemodynamic-monitoring/","/insights/updates/healthcare/why-advanced-hemodynamic-monitoring/")</f>
        <v>/insights/updates/healthcare/why-advanced-hemodynamic-monitoring/</v>
      </c>
      <c r="C423" t="inlineStr" s="2">
        <is>
          <t xml:space="preserve">Should fluids or catecholamines be administered?</t>
        </is>
      </c>
      <c r="D423" t="inlineStr" s="2">
        <is>
          <t xml:space="preserve">Soll Volumen oder sollen Katecholamine verabreicht werden?</t>
        </is>
      </c>
      <c r="E423" t="inlineStr" s="0">
        <is>
          <t xml:space="preserve">Medium</t>
        </is>
      </c>
      <c r="F423" s="4"/>
      <c r="G423" t="inlineStr" s="2">
        <is>
          <t xml:space="preserve">Wie ist die aktuelle kardiovaskuläre Situation?</t>
        </is>
      </c>
      <c r="H423" t="inlineStr" s="2">
        <is>
          <t xml:space="preserve">Besteht das Risiko einer Volumenüberladung?</t>
        </is>
      </c>
      <c r="I423" t="inlineStr" s="2">
        <is>
          <t xml:space="preserve">Warum erweitertes hämodynamisches Monitoring?</t>
        </is>
      </c>
      <c r="J423" s="4"/>
      <c r="K423" s="2"/>
      <c r="L423" t="str" s="3">
        <f>HYPERLINK("https://www.getinge.com/de/news-und-events/neuigkeiten/gesundheitswesen/warum-erweitertes-hamodynamisches-monitoring/","/news-und-events/neuigkeiten/gesundheitswesen/warum-erweitertes-hamodynamisches-monitoring/")</f>
        <v>/news-und-events/neuigkeiten/gesundheitswesen/warum-erweitertes-hamodynamisches-monitoring/</v>
      </c>
    </row>
    <row r="424">
      <c r="A424" s="0">
        <v>423</v>
      </c>
      <c r="B424" t="str" s="3">
        <f>HYPERLINK("https://www.getinge.com/int/insights/updates/healthcare/why-advanced-hemodynamic-monitoring/","/insights/updates/healthcare/why-advanced-hemodynamic-monitoring/")</f>
        <v>/insights/updates/healthcare/why-advanced-hemodynamic-monitoring/</v>
      </c>
      <c r="C424" t="inlineStr" s="2">
        <is>
          <t xml:space="preserve">Is there a risk of fluid overload?</t>
        </is>
      </c>
      <c r="D424" s="2"/>
      <c r="F424" s="4"/>
      <c r="G424" t="inlineStr" s="2">
        <is>
          <t xml:space="preserve">Wie ist die kardiale Vor- und Nachlast?</t>
        </is>
      </c>
      <c r="H424" t="inlineStr" s="2">
        <is>
          <t xml:space="preserve">Entwickelt der Patient ein Lungenödem?</t>
        </is>
      </c>
      <c r="I424" t="inlineStr" s="2">
        <is>
          <t xml:space="preserve">Besteht das Risiko einer Volumenüberladung?</t>
        </is>
      </c>
      <c r="J424" s="4"/>
      <c r="K424" s="2"/>
      <c r="L424" t="str" s="3">
        <f>HYPERLINK("https://www.getinge.com/de/news-und-events/neuigkeiten/gesundheitswesen/warum-erweitertes-hamodynamisches-monitoring/","/news-und-events/neuigkeiten/gesundheitswesen/warum-erweitertes-hamodynamisches-monitoring/")</f>
        <v>/news-und-events/neuigkeiten/gesundheitswesen/warum-erweitertes-hamodynamisches-monitoring/</v>
      </c>
    </row>
    <row r="425">
      <c r="A425" s="0">
        <v>424</v>
      </c>
      <c r="B425" t="str" s="3">
        <f>HYPERLINK("https://www.getinge.com/int/insights/updates/healthcare/why-advanced-hemodynamic-monitoring/","/insights/updates/healthcare/why-advanced-hemodynamic-monitoring/")</f>
        <v>/insights/updates/healthcare/why-advanced-hemodynamic-monitoring/</v>
      </c>
      <c r="C425" t="inlineStr" s="2">
        <is>
          <t xml:space="preserve">Is the patient developing pulmonary edema?</t>
        </is>
      </c>
      <c r="D425" t="inlineStr" s="2">
        <is>
          <t xml:space="preserve">Entwickelt der Patient ein Lungenödem?</t>
        </is>
      </c>
      <c r="E425" t="inlineStr" s="0">
        <is>
          <t xml:space="preserve">Medium</t>
        </is>
      </c>
      <c r="F425" s="4"/>
      <c r="G425" t="inlineStr" s="2">
        <is>
          <t xml:space="preserve">Wie ist die aktuelle kardiovaskuläre Situation?</t>
        </is>
      </c>
      <c r="H425" t="inlineStr" s="2">
        <is>
          <t xml:space="preserve">Besteht das Risiko einer Volumenüberladung?</t>
        </is>
      </c>
      <c r="I425" t="inlineStr" s="2">
        <is>
          <t xml:space="preserve">Soll Volumen oder sollen Katecholamine verabreicht werden?</t>
        </is>
      </c>
      <c r="J425" s="4"/>
      <c r="K425" s="2"/>
      <c r="L425" t="str" s="3">
        <f>HYPERLINK("https://www.getinge.com/de/news-und-events/neuigkeiten/gesundheitswesen/warum-erweitertes-hamodynamisches-monitoring/","/news-und-events/neuigkeiten/gesundheitswesen/warum-erweitertes-hamodynamisches-monitoring/")</f>
        <v>/news-und-events/neuigkeiten/gesundheitswesen/warum-erweitertes-hamodynamisches-monitoring/</v>
      </c>
    </row>
    <row r="426">
      <c r="A426" s="0">
        <v>425</v>
      </c>
      <c r="B426" t="str" s="3">
        <f>HYPERLINK("https://www.getinge.com/int/insights/updates/healthcare/why-advanced-hemodynamic-monitoring/","/insights/updates/healthcare/why-advanced-hemodynamic-monitoring/")</f>
        <v>/insights/updates/healthcare/why-advanced-hemodynamic-monitoring/</v>
      </c>
      <c r="C426" t="inlineStr" s="2">
        <is>
          <t xml:space="preserve">By using advanced hemodynamic monitoring, clinicians are continuously informed about changes in the patient’s condition. As a result, treatment can be adjusted immediately and in a targeted manner, and patient-specific therapy can be carried out with optimal use of fluids, inotropes, and vasoactive substances. Clinical evidence has long shown that hemodynamic optimization as part of a goal-directed therapy approach (“Early Goal-Directed Therapy,” EGDT) reduces complications and morbidity, shortens length of stay, and saves costs. [4] [5] [6].</t>
        </is>
      </c>
      <c r="D426" t="inlineStr" s="2">
        <is>
          <t xml:space="preserve">Durch den Einsatz von erweitertem hämodynamischem Monitoring sind Ärzt*innen jederzeit über Veränderungen im Zustand des Patienten informiert. Dadurch kann die Behandlung sofort und zielgerichtet angepasst und eine patientenindividuelle Therapie unter optimaler Nutzung von Volumen, Inotropika und vasoaktiven Substanzen durchgeführt werden. Seit langem zeigen klinische Evidenzen, dass eine hämodynamische Optimierung im Rahmen einer zielgerichteten Therapie („Early Goal-Directed Therapy“, EGDT) Komplikationen und Morbidität reduziert, die Aufenthaltsdauer reduziert und Kosten einspart[5][6][7].</t>
        </is>
      </c>
      <c r="E426" t="inlineStr" s="0">
        <is>
          <t xml:space="preserve">Medium</t>
        </is>
      </c>
      <c r="F426" s="4"/>
      <c r="G426" t="inlineStr" s="2">
        <is>
          <t xml:space="preserve">Das erweiterte hämodynamische Monitoring liefert zusätzliche und wesentlich präzisere Informationen über das Herz-Kreislauf-System wie Blutfluss, Volumenstatus, Gefäßtonus und kardiale Funktionen. Durch die kontinuierliche Überwachung und Analyse der Form und der Fläche unter der arteriellen Druckkurve (Pulskonturanalyse), der strukturellen und mechanischen Eigenschaften des Gefäßsystems und der physikalischen Eigenschaften des Blutes kann zu jeder Zeit eine differenzierte Beurteilung der Kreislaufsituation erfolgen und eine zielgerichtete Therapie eingeleitet werden.</t>
        </is>
      </c>
      <c r="H426" t="inlineStr" s="2">
        <is>
          <t xml:space="preserve">Prof. Dr. Bernd Christopher Saugel vom UKE Hamburg erklärt: „Während das hämodynamische Basismonitoring mit der Erfassung von Herzfrequenz, Blutdruck und weiteren Druckparametern im Wesentlichen die Funktion eines Sicherheitsmonitorings erfüllt, dient das erweiterte hämodynamische Monitoring dazu, Störungen der Homöostase aufzudecken, noch bevor die Vitalfunktionen beeinträchtigt werden." Nur auf Basis dieser erweiterten Parameter und spezieller Monitoring-Technologien ist eine gezielte Therapiesteuerung und somit ein hämodynamisches Management, möglich[4].</t>
        </is>
      </c>
      <c r="I426" t="inlineStr" s="2">
        <is>
          <t xml:space="preserve">Das Basismonitoring stößt bei hämodynamischer Instabilität aufgrund von Organversagen oder größeren Operationen an seine Grenzen. In solchen Fällen kann sich der Patientenstatus innerhalb kürzester Zeit rapide verändern. Für eine differenzierte Beurteilung der Kreislaufsituation, reichen die Standardparameter EKG, Blutdruckmessung und Pulsoxymetrie nicht mehr aus, um Herzzeitvolumen (HZV) und Sauerstofftransport für eine zielgerichtete, patienten-individuelle Therapie sicher einzuschätzen.</t>
        </is>
      </c>
      <c r="J426" s="4"/>
      <c r="K426" t="inlineStr" s="2">
        <is>
          <t xml:space="preserve">number-mismatch: numbers [4, 5, 6] vs [5, 6, 7]</t>
        </is>
      </c>
      <c r="L426" t="str" s="3">
        <f>HYPERLINK("https://www.getinge.com/de/news-und-events/neuigkeiten/gesundheitswesen/warum-erweitertes-hamodynamisches-monitoring/","/news-und-events/neuigkeiten/gesundheitswesen/warum-erweitertes-hamodynamisches-monitoring/")</f>
        <v>/news-und-events/neuigkeiten/gesundheitswesen/warum-erweitertes-hamodynamisches-monitoring/</v>
      </c>
    </row>
    <row r="427">
      <c r="A427" s="0">
        <v>426</v>
      </c>
      <c r="B427" t="str" s="3">
        <f>HYPERLINK("https://www.getinge.com/int/insights/updates/healthcare/why-advanced-hemodynamic-monitoring/","/insights/updates/healthcare/why-advanced-hemodynamic-monitoring/")</f>
        <v>/insights/updates/healthcare/why-advanced-hemodynamic-monitoring/</v>
      </c>
      <c r="C427" t="inlineStr" s="2">
        <is>
          <t xml:space="preserve">Typical indications for the use of advanced hemodynamic monitoring in both intensive care and anesthesia include:</t>
        </is>
      </c>
      <c r="D427" t="inlineStr" s="2">
        <is>
          <t xml:space="preserve">Typische Indikationen für den Einsatz des erweiterten hämodynamischen Monitorings sind sowohl in der Intensivmedizin als auch in der Anästhesie:</t>
        </is>
      </c>
      <c r="E427" t="inlineStr" s="0">
        <is>
          <t xml:space="preserve">Medium</t>
        </is>
      </c>
      <c r="F427" s="4"/>
      <c r="G427" t="inlineStr" s="2">
        <is>
          <t xml:space="preserve">Indikationen</t>
        </is>
      </c>
      <c r="H427" t="inlineStr" s="2">
        <is>
          <t xml:space="preserve">Mark van Iperen vom Gelderland Valley Hospital in Ede, Niederlande: „Wir nutzen erweitertes hämodynamisches Monitoring bei fast allen Patienten, vor allem bei schwer kranken oder herzkranken Patienten. Die Überwachung physiologischer Parameter ist für das zielgerichtete Management von Intensivpatienten unerlässlich.“</t>
        </is>
      </c>
      <c r="I427" s="2"/>
      <c r="J427" s="4"/>
      <c r="K427" s="2"/>
      <c r="L427" t="str" s="3">
        <f>HYPERLINK("https://www.getinge.com/de/news-und-events/neuigkeiten/gesundheitswesen/warum-erweitertes-hamodynamisches-monitoring/","/news-und-events/neuigkeiten/gesundheitswesen/warum-erweitertes-hamodynamisches-monitoring/")</f>
        <v>/news-und-events/neuigkeiten/gesundheitswesen/warum-erweitertes-hamodynamisches-monitoring/</v>
      </c>
    </row>
    <row r="428">
      <c r="A428" s="0">
        <v>427</v>
      </c>
      <c r="B428" t="str" s="3">
        <f>HYPERLINK("https://www.getinge.com/int/insights/updates/healthcare/why-advanced-hemodynamic-monitoring/","/insights/updates/healthcare/why-advanced-hemodynamic-monitoring/")</f>
        <v>/insights/updates/healthcare/why-advanced-hemodynamic-monitoring/</v>
      </c>
      <c r="C428" t="inlineStr" s="2">
        <is>
          <t xml:space="preserve">The principles of transpulmonary thermodilution and arterial pulse contour analysis enable the calculation of these advanced hemodynamic parameters and have been clinically tested and established for more than 20 years [7] [8].</t>
        </is>
      </c>
      <c r="D428" t="inlineStr" s="2">
        <is>
          <t xml:space="preserve">Die Prinzipien der transpulmonalen Thermodilution und die arteriellen Pulskonturanalyse ermöglichen die Berechnung dieser erweiterten hämodynamischen Parameter und sind bereits seit mehr als 20 Jahren klinisch erprobt und etabliert[8],[9].</t>
        </is>
      </c>
      <c r="E428" t="inlineStr" s="0">
        <is>
          <t xml:space="preserve">Medium</t>
        </is>
      </c>
      <c r="F428" s="4"/>
      <c r="G428" t="inlineStr" s="2">
        <is>
          <t xml:space="preserve">Mark van Iperen vom Gelderland Valley Hospital in Ede, Niederlande: „Wir nutzen erweitertes hämodynamisches Monitoring bei fast allen Patienten, vor allem bei schwer kranken oder herzkranken Patienten. Die Überwachung physiologischer Parameter ist für das zielgerichtete Management von Intensivpatienten unerlässlich.“</t>
        </is>
      </c>
      <c r="H428" s="2"/>
      <c r="I428" s="2"/>
      <c r="J428" s="4"/>
      <c r="K428" t="inlineStr" s="2">
        <is>
          <t xml:space="preserve">number-mismatch: numbers [20, 7, 8] vs [20, 8, 9]</t>
        </is>
      </c>
      <c r="L428" t="str" s="3">
        <f>HYPERLINK("https://www.getinge.com/de/news-und-events/neuigkeiten/gesundheitswesen/warum-erweitertes-hamodynamisches-monitoring/","/news-und-events/neuigkeiten/gesundheitswesen/warum-erweitertes-hamodynamisches-monitoring/")</f>
        <v>/news-und-events/neuigkeiten/gesundheitswesen/warum-erweitertes-hamodynamisches-monitoring/</v>
      </c>
    </row>
    <row r="429">
      <c r="A429" s="0">
        <v>428</v>
      </c>
      <c r="B429" t="str" s="3">
        <f>HYPERLINK("https://www.getinge.com/int/insights/updates/healthcare/why-complete-endoscope-lifecycle-information-matters/","/insights/updates/healthcare/why-complete-endoscope-lifecycle-information-matters/")</f>
        <v>/insights/updates/healthcare/why-complete-endoscope-lifecycle-information-matters/</v>
      </c>
      <c r="C429" t="inlineStr" s="2">
        <is>
          <t xml:space="preserve">This means that managing endoscopes involves more than confirming that reprocessing has been completed successfully.</t>
        </is>
      </c>
      <c r="D429" t="inlineStr" s="2">
        <is>
          <t xml:space="preserve">Das bedeutet, dass das Management von Endoskopen mehr umfasst als nur die Bestätigung, dass die Aufbereitung erfolgreich abgeschlossen wurde.</t>
        </is>
      </c>
      <c r="E429" t="inlineStr" s="0">
        <is>
          <t xml:space="preserve">Medium</t>
        </is>
      </c>
      <c r="F429" s="4"/>
      <c r="G429" t="inlineStr" s="2">
        <is>
          <t xml:space="preserve">Viele kritische Tätigkeiten bei der Endoskopaufbereitung hängen weiterhin von der manuellen Durchführung ab. Dazu gehören beispielsweise:</t>
        </is>
      </c>
      <c r="H429" t="inlineStr" s="2">
        <is>
          <t xml:space="preserve">Zu verstehen, warum Geräte nicht verfügbar sind: Die Nachverfolgung von Wartungs- und Reparaturmaßnahmen schafft mehr Transparenz über Ausfallzeiten, Durchlaufzeiten und Geräteverfügbarkeit.</t>
        </is>
      </c>
      <c r="I429" t="inlineStr" s="2">
        <is>
          <t xml:space="preserve">Endoskope sind wertvolle Ressourcen, die häufig ständig benötigt werden. Zu jedem Zeitpunkt können sich einige Geräte im Einsatz, in der Aufbereitung, bei der Trocknung und Lagerung, vor einer Wartung oder in Reparatur befinden.</t>
        </is>
      </c>
      <c r="J429" s="4"/>
      <c r="K429" s="2"/>
      <c r="L429" t="str" s="3">
        <f>HYPERLINK("https://www.getinge.com/de/news-und-events/neuigkeiten/gesundheitswesen/warum-vollstaendige-informationen-ueber-den-lebenszyklus-von-endoskopen-wichtig-sind/","/news-und-events/neuigkeiten/gesundheitswesen/warum-vollstaendige-informationen-ueber-den-lebenszyklus-von-endoskopen-wichtig-sind/")</f>
        <v>/news-und-events/neuigkeiten/gesundheitswesen/warum-vollstaendige-informationen-ueber-den-lebenszyklus-von-endoskopen-wichtig-sind/</v>
      </c>
    </row>
    <row r="430">
      <c r="A430" s="0">
        <v>429</v>
      </c>
      <c r="B430" t="str" s="3">
        <f>HYPERLINK("https://www.getinge.com/int/insights/updates/healthcare/why-complete-endoscope-lifecycle-information-matters/","/insights/updates/healthcare/why-complete-endoscope-lifecycle-information-matters/")</f>
        <v>/insights/updates/healthcare/why-complete-endoscope-lifecycle-information-matters/</v>
      </c>
      <c r="C430" t="inlineStr" s="2">
        <is>
          <t xml:space="preserve">Challenge 1: Maintaining visibility across people, procedures, and devices</t>
        </is>
      </c>
      <c r="D430" t="inlineStr" s="2">
        <is>
          <t xml:space="preserve">Herausforderung 1: Transparenz über Personen, Eingriffe und Endoskope hinweg sicherstellen</t>
        </is>
      </c>
      <c r="E430" t="inlineStr" s="0">
        <is>
          <t xml:space="preserve">Medium</t>
        </is>
      </c>
      <c r="F430" s="4"/>
      <c r="G430" t="inlineStr" s="2">
        <is>
          <t xml:space="preserve">Herausforderung 7: Arbeitsabläufe zwischen Endoskopie und Aufbereitung koordinieren</t>
        </is>
      </c>
      <c r="H430" t="inlineStr" s="2">
        <is>
          <t xml:space="preserve">Herausforderung 4: Eine einheitliche Durchführung manueller Arbeitsschritte sicherstellen</t>
        </is>
      </c>
      <c r="I430" t="inlineStr" s="2">
        <is>
          <t xml:space="preserve">Herausforderung 6: Die Verfügbarkeit kostspieliger Medizinprodukte maximieren</t>
        </is>
      </c>
      <c r="J430" s="4"/>
      <c r="K430" s="2"/>
      <c r="L430" t="str" s="3">
        <f>HYPERLINK("https://www.getinge.com/de/news-und-events/neuigkeiten/gesundheitswesen/warum-vollstaendige-informationen-ueber-den-lebenszyklus-von-endoskopen-wichtig-sind/","/news-und-events/neuigkeiten/gesundheitswesen/warum-vollstaendige-informationen-ueber-den-lebenszyklus-von-endoskopen-wichtig-sind/")</f>
        <v>/news-und-events/neuigkeiten/gesundheitswesen/warum-vollstaendige-informationen-ueber-den-lebenszyklus-von-endoskopen-wichtig-sind/</v>
      </c>
    </row>
    <row r="431">
      <c r="A431" s="0">
        <v>430</v>
      </c>
      <c r="B431" t="str" s="3">
        <f>HYPERLINK("https://www.getinge.com/int/insights/updates/healthcare/why-complete-endoscope-lifecycle-information-matters/","/insights/updates/healthcare/why-complete-endoscope-lifecycle-information-matters/")</f>
        <v>/insights/updates/healthcare/why-complete-endoscope-lifecycle-information-matters/</v>
      </c>
      <c r="C431" t="inlineStr" s="2">
        <is>
          <t xml:space="preserve">In busy endoscopy units, multiple similar endoscopes may be used throughout the day. When a quality issue or investigation arises, departments must be able to reconstruct which patient was treated, which endoscope was used, who handled it, and which reprocessing steps were completed.</t>
        </is>
      </c>
      <c r="D431" t="inlineStr" s="2">
        <is>
          <t xml:space="preserve">In stark ausgelasteten Endoskopieabteilungen können im Laufe des Tages mehrere ähnliche Endoskope eingesetzt werden. Wenn ein Qualitätsproblem auftritt oder eine Untersuchung erforderlich ist, müssen die Abteilungen nachvollziehen können, welcher Patient behandelt wurde, welches Endoskop verwendet wurde, wer es gehandhabt hat und welche Aufbereitungsschritte abgeschlossen wurden.</t>
        </is>
      </c>
      <c r="E431" t="inlineStr" s="0">
        <is>
          <t xml:space="preserve">Low</t>
        </is>
      </c>
      <c r="F431" s="4"/>
      <c r="G431" t="inlineStr" s="2">
        <is>
          <t xml:space="preserve">Krankenhäuser verwalten häufig eine wachsende Vielfalt an Endoskoptypen mit unterschiedlicher Komplexität und unterschiedlichen Anforderungen an die Handhabung. Werden dieselben Verfahren auf alle Geräte angewendet, ohne diese Unterschiede ausreichend zu berücksichtigen, können Risiken bei der Aufbereitung und Handhabung entstehen.</t>
        </is>
      </c>
      <c r="H431" t="inlineStr" s="2">
        <is>
          <t xml:space="preserve">Die vollständige Historie eines Endoskops nachzuvollziehen, wenn es darauf ankommt: Durch die Verknüpfung von Informationen zu Patienten, Eingriffen, Geräten, Mitarbeitenden, Aufbereitung, Lagerung und Wartung können Krankenhäuser bei Audits, Untersuchungen oder Qualitätsprüfungen leichter auf die vollständige Rückverfolgbarkeitskette zugreifen.</t>
        </is>
      </c>
      <c r="I431" t="inlineStr" s="2">
        <is>
          <t xml:space="preserve">Das Management von Endoskopen findet selten innerhalb einer einzigen Abteilung statt. Die Verantwortung wird häufig zwischen Endoskopieabteilungen, Aufbereitungsabteilungen, Teams der Sterilgutaufbereitung, der Medizintechnik und weiteren Beteiligten geteilt, die an der Handhabung, Wartung und Nachverfolgung von Endoskopen beteiligt sind.</t>
        </is>
      </c>
      <c r="J431" s="4"/>
      <c r="K431" s="2"/>
      <c r="L431" t="str" s="3">
        <f>HYPERLINK("https://www.getinge.com/de/news-und-events/neuigkeiten/gesundheitswesen/warum-vollstaendige-informationen-ueber-den-lebenszyklus-von-endoskopen-wichtig-sind/","/news-und-events/neuigkeiten/gesundheitswesen/warum-vollstaendige-informationen-ueber-den-lebenszyklus-von-endoskopen-wichtig-sind/")</f>
        <v>/news-und-events/neuigkeiten/gesundheitswesen/warum-vollstaendige-informationen-ueber-den-lebenszyklus-von-endoskopen-wichtig-sind/</v>
      </c>
    </row>
    <row r="432">
      <c r="A432" s="0">
        <v>431</v>
      </c>
      <c r="B432" t="str" s="3">
        <f>HYPERLINK("https://www.getinge.com/int/insights/updates/healthcare/why-complete-endoscope-lifecycle-information-matters/","/insights/updates/healthcare/why-complete-endoscope-lifecycle-information-matters/")</f>
        <v>/insights/updates/healthcare/why-complete-endoscope-lifecycle-information-matters/</v>
      </c>
      <c r="C432" t="inlineStr" s="2">
        <is>
          <t xml:space="preserve">This level of traceability is particularly important for flexible endoscopes. Unlike many surgical instruments, they are generally not sterilized in the same way. Their safe reuse therefore depends on effective high-level disinfection and correct handling throughout the process. If reprocessing or handling fails, complete patient-procedure-device traceability is essential for investigating potential infection risks.</t>
        </is>
      </c>
      <c r="D432" t="inlineStr" s="2">
        <is>
          <t xml:space="preserve">Dieses Maß an Rückverfolgbarkeit ist bei flexiblen Endoskopen besonders wichtig. Anders als viele chirurgische Instrumente werden sie in der Regel nicht auf dieselbe Weise sterilisiert. Ihre sichere Wiederverwendung hängt daher von einer wirksamen High-Level-Desinfektion und der korrekten Handhabung während des gesamten Prozesses ab. Wenn bei der Aufbereitung oder Handhabung Fehler auftreten, ist eine vollständige Rückverfolgbarkeit von Patient, Eingriff und Endoskop entscheidend, um mögliche Infektionsrisiken zu untersuchen.</t>
        </is>
      </c>
      <c r="E432" t="inlineStr" s="0">
        <is>
          <t xml:space="preserve">Medium</t>
        </is>
      </c>
      <c r="F432" s="4"/>
      <c r="G432" t="inlineStr" s="2">
        <is>
          <t xml:space="preserve">Fehlende Unterschriften, unvollständige Aufzeichnungen oder an unterschiedlichen Orten gespeicherte Informationen können es erschweren, die vollständige Historie eines Endoskops nachzuvollziehen. Dies ist besonders bei Audits oder Untersuchungen problematisch, bei denen die Dokumentation vollständig und leicht zugänglich sein muss. Manuelle Prozesse verursachen zudem zusätzlichen Verwaltungsaufwand und je nach Organisation große Mengen an Papierdokumentation.</t>
        </is>
      </c>
      <c r="H432" t="inlineStr" s="2">
        <is>
          <t xml:space="preserve">In der Praxis verwalten viele Krankenhäuser Teile des Endoskop-Lebenszyklus weiterhin mithilfe einer Kombination aus papierbasierter Dokumentation, Checklisten, Tabellen und manueller Archivierung. Auch wenn diese Ansätze funktionieren können, erfordern sie einen erheblichen Koordinationsaufwand und ein konsequentes Qualitätsmanagement, um sicherzustellen, dass die Dokumentation vollständig, aktuell und bei Bedarf verfügbar ist.</t>
        </is>
      </c>
      <c r="I432" t="inlineStr" s="2">
        <is>
          <t xml:space="preserve">Anders als viele chirurgische Instrumente müssen Endoskope über mehrere zeitkritische Phasen ihres Lebenszyklus hinweg individuell nachverfolgt werden – vom Einsatz über die Aufbereitung, Trocknung und Lagerung bis zur erneuten klinischen Verwendung. Werden definierte Zeitgrenzen überschritten, kann eine erneute Aufbereitung erforderlich sein. Deshalb ist es besonders wichtig, während des gesamten Lebenszyklus eines Endoskops einen klaren Überblick über diese Zeitintervalle zu behalten. Dies erhöht die Komplexität des täglichen Endoskopmanagements zusätzlich.</t>
        </is>
      </c>
      <c r="J432" s="4"/>
      <c r="K432" s="2"/>
      <c r="L432" t="str" s="3">
        <f>HYPERLINK("https://www.getinge.com/de/news-und-events/neuigkeiten/gesundheitswesen/warum-vollstaendige-informationen-ueber-den-lebenszyklus-von-endoskopen-wichtig-sind/","/news-und-events/neuigkeiten/gesundheitswesen/warum-vollstaendige-informationen-ueber-den-lebenszyklus-von-endoskopen-wichtig-sind/")</f>
        <v>/news-und-events/neuigkeiten/gesundheitswesen/warum-vollstaendige-informationen-ueber-den-lebenszyklus-von-endoskopen-wichtig-sind/</v>
      </c>
    </row>
    <row r="433">
      <c r="A433" s="0">
        <v>432</v>
      </c>
      <c r="B433" t="str" s="3">
        <f>HYPERLINK("https://www.getinge.com/int/insights/updates/healthcare/why-complete-endoscope-lifecycle-information-matters/","/insights/updates/healthcare/why-complete-endoscope-lifecycle-information-matters/")</f>
        <v>/insights/updates/healthcare/why-complete-endoscope-lifecycle-information-matters/</v>
      </c>
      <c r="C433" t="inlineStr" s="2">
        <is>
          <t xml:space="preserve">Challenge 2: Managing time-critical workflows</t>
        </is>
      </c>
      <c r="D433" t="inlineStr" s="2">
        <is>
          <t xml:space="preserve">Herausforderung 2: Zeitkritische Arbeitsabläufe steuern</t>
        </is>
      </c>
      <c r="E433" t="inlineStr" s="0">
        <is>
          <t xml:space="preserve">Medium</t>
        </is>
      </c>
      <c r="F433" s="4"/>
      <c r="G433" t="inlineStr" s="2">
        <is>
          <t xml:space="preserve">Wie die Endoskopdokumentation heute häufig verwaltet wird</t>
        </is>
      </c>
      <c r="H433" t="inlineStr" s="2">
        <is>
          <t xml:space="preserve">Herausforderung 5: Unterschiedliche Endoskopbestände verwalten</t>
        </is>
      </c>
      <c r="I433" t="inlineStr" s="2">
        <is>
          <t xml:space="preserve">Informationen über Endoskope zusammenführen</t>
        </is>
      </c>
      <c r="J433" s="4"/>
      <c r="K433" s="2"/>
      <c r="L433" t="str" s="3">
        <f>HYPERLINK("https://www.getinge.com/de/news-und-events/neuigkeiten/gesundheitswesen/warum-vollstaendige-informationen-ueber-den-lebenszyklus-von-endoskopen-wichtig-sind/","/news-und-events/neuigkeiten/gesundheitswesen/warum-vollstaendige-informationen-ueber-den-lebenszyklus-von-endoskopen-wichtig-sind/")</f>
        <v>/news-und-events/neuigkeiten/gesundheitswesen/warum-vollstaendige-informationen-ueber-den-lebenszyklus-von-endoskopen-wichtig-sind/</v>
      </c>
    </row>
    <row r="434">
      <c r="A434" s="0">
        <v>433</v>
      </c>
      <c r="B434" t="str" s="3">
        <f>HYPERLINK("https://www.getinge.com/int/insights/updates/healthcare/why-complete-endoscope-lifecycle-information-matters/","/insights/updates/healthcare/why-complete-endoscope-lifecycle-information-matters/")</f>
        <v>/insights/updates/healthcare/why-complete-endoscope-lifecycle-information-matters/</v>
      </c>
      <c r="C434" t="inlineStr" s="2">
        <is>
          <t xml:space="preserve">Endoscope management is highly time-dependent. Departments often need to comply with defined time intervals between patient use and reprocessing, individual reprocessing steps, drying and storage, and storage and clinical use.</t>
        </is>
      </c>
      <c r="D434" t="inlineStr" s="2">
        <is>
          <t xml:space="preserve">Das Management von Endoskopen ist stark zeitabhängig. Abteilungen müssen häufig definierte Zeitintervalle einhalten – zwischen dem Einsatz am Patienten und der Aufbereitung, zwischen einzelnen Aufbereitungsschritten, bei der Trocknung und Lagerung sowie zwischen Lagerung und klinischem Einsatz.</t>
        </is>
      </c>
      <c r="E434" t="inlineStr" s="0">
        <is>
          <t xml:space="preserve">Medium</t>
        </is>
      </c>
      <c r="F434" s="4"/>
      <c r="G434" t="inlineStr" s="2">
        <is>
          <t xml:space="preserve">Endoskope wechseln kontinuierlich zwischen Untersuchungsräumen, Aufbereitungsbereichen, Trocknungsschränken, Lagerorten, Transportbehältern und Reparatureinrichtungen. Mitarbeitende benötigen daher schnelle Antworten auf einfache, aber entscheidende Fragen:</t>
        </is>
      </c>
      <c r="H434" t="inlineStr" s="2">
        <is>
          <t xml:space="preserve">Zu wissen, wo sich jedes Endoskop befindet und ob es einsatzbereit ist: Klare Informationen über Standort, Status und Verfügbarkeit helfen Mitarbeitenden, geeignete Geräte schneller zu finden und den vorhandenen Gerätebestand besser zu nutzen.</t>
        </is>
      </c>
      <c r="I434" t="inlineStr" s="2">
        <is>
          <t xml:space="preserve">Endoskope sind wertvolle Ressourcen, die häufig ständig benötigt werden. Zu jedem Zeitpunkt können sich einige Geräte im Einsatz, in der Aufbereitung, bei der Trocknung und Lagerung, vor einer Wartung oder in Reparatur befinden.</t>
        </is>
      </c>
      <c r="J434" s="4"/>
      <c r="K434" s="2"/>
      <c r="L434" t="str" s="3">
        <f>HYPERLINK("https://www.getinge.com/de/news-und-events/neuigkeiten/gesundheitswesen/warum-vollstaendige-informationen-ueber-den-lebenszyklus-von-endoskopen-wichtig-sind/","/news-und-events/neuigkeiten/gesundheitswesen/warum-vollstaendige-informationen-ueber-den-lebenszyklus-von-endoskopen-wichtig-sind/")</f>
        <v>/news-und-events/neuigkeiten/gesundheitswesen/warum-vollstaendige-informationen-ueber-den-lebenszyklus-von-endoskopen-wichtig-sind/</v>
      </c>
    </row>
    <row r="435">
      <c r="A435" s="0">
        <v>434</v>
      </c>
      <c r="B435" t="str" s="3">
        <f>HYPERLINK("https://www.getinge.com/int/insights/updates/healthcare/why-complete-endoscope-lifecycle-information-matters/","/insights/updates/healthcare/why-complete-endoscope-lifecycle-information-matters/")</f>
        <v>/insights/updates/healthcare/why-complete-endoscope-lifecycle-information-matters/</v>
      </c>
      <c r="C435" t="inlineStr" s="2">
        <is>
          <t xml:space="preserve">Unlike many surgical instruments, endoscopes need to be tracked individually across multiple time-critical lifecycle steps – from use to reprocessing, drying and storage, and back to clinical use. If defined time limits are exceeded, reprocessing may be required. This makes it particularly important to maintain a clear overview of these time intervals throughout the endoscope lifecycle and adds another layer of complexity to everyday endoscope management.</t>
        </is>
      </c>
      <c r="D435" t="inlineStr" s="2">
        <is>
          <t xml:space="preserve">Anders als viele chirurgische Instrumente müssen Endoskope über mehrere zeitkritische Phasen ihres Lebenszyklus hinweg individuell nachverfolgt werden – vom Einsatz über die Aufbereitung, Trocknung und Lagerung bis zur erneuten klinischen Verwendung. Werden definierte Zeitgrenzen überschritten, kann eine erneute Aufbereitung erforderlich sein. Deshalb ist es besonders wichtig, während des gesamten Lebenszyklus eines Endoskops einen klaren Überblick über diese Zeitintervalle zu behalten. Dies erhöht die Komplexität des täglichen Endoskopmanagements zusätzlich.</t>
        </is>
      </c>
      <c r="E435" t="inlineStr" s="0">
        <is>
          <t xml:space="preserve">Medium</t>
        </is>
      </c>
      <c r="F435" s="4"/>
      <c r="G435" t="inlineStr" s="2">
        <is>
          <t xml:space="preserve">Dieses Maß an Rückverfolgbarkeit ist bei flexiblen Endoskopen besonders wichtig. Anders als viele chirurgische Instrumente werden sie in der Regel nicht auf dieselbe Weise sterilisiert. Ihre sichere Wiederverwendung hängt daher von einer wirksamen High-Level-Desinfektion und der korrekten Handhabung während des gesamten Prozesses ab. Wenn bei der Aufbereitung oder Handhabung Fehler auftreten, ist eine vollständige Rückverfolgbarkeit von Patient, Eingriff und Endoskop entscheidend, um mögliche Infektionsrisiken zu untersuchen.</t>
        </is>
      </c>
      <c r="H435" t="inlineStr" s="2">
        <is>
          <t xml:space="preserve">Fehlende Unterschriften, unvollständige Aufzeichnungen oder an unterschiedlichen Orten gespeicherte Informationen können es erschweren, die vollständige Historie eines Endoskops nachzuvollziehen. Dies ist besonders bei Audits oder Untersuchungen problematisch, bei denen die Dokumentation vollständig und leicht zugänglich sein muss. Manuelle Prozesse verursachen zudem zusätzlichen Verwaltungsaufwand und je nach Organisation große Mengen an Papierdokumentation.</t>
        </is>
      </c>
      <c r="I435" t="inlineStr" s="2">
        <is>
          <t xml:space="preserve">Da viele dieser Schritte manuell durchgeführt werden, müssen Abteilungen sicherstellen, dass sie unabhängig von der ausführenden Person einheitlich erfolgen. Bei flexiblen Endoskopen, deren sichere Wiederverwendung von der korrekten Handhabung während einer Abfolge einzelner Schritte abhängt, können Unterschiede in der Durchführung die Qualität der Aufbereitung direkt beeinflussen. Schulungen, Personalwechsel und unterschiedliche Erfahrungsstände können es erschweren, diese Einheitlichkeit aufrechtzuerhalten, insbesondere wenn neue Mitarbeitende geräte- und prozessspezifische Anforderungen einhalten müssen.</t>
        </is>
      </c>
      <c r="J435" s="4"/>
      <c r="K435" s="2"/>
      <c r="L435" t="str" s="3">
        <f>HYPERLINK("https://www.getinge.com/de/news-und-events/neuigkeiten/gesundheitswesen/warum-vollstaendige-informationen-ueber-den-lebenszyklus-von-endoskopen-wichtig-sind/","/news-und-events/neuigkeiten/gesundheitswesen/warum-vollstaendige-informationen-ueber-den-lebenszyklus-von-endoskopen-wichtig-sind/")</f>
        <v>/news-und-events/neuigkeiten/gesundheitswesen/warum-vollstaendige-informationen-ueber-den-lebenszyklus-von-endoskopen-wichtig-sind/</v>
      </c>
    </row>
    <row r="436">
      <c r="A436" s="0">
        <v>435</v>
      </c>
      <c r="B436" t="str" s="3">
        <f>HYPERLINK("https://www.getinge.com/int/insights/updates/healthcare/why-complete-endoscope-lifecycle-information-matters/","/insights/updates/healthcare/why-complete-endoscope-lifecycle-information-matters/")</f>
        <v>/insights/updates/healthcare/why-complete-endoscope-lifecycle-information-matters/</v>
      </c>
      <c r="C436" t="inlineStr" s="2">
        <is>
          <t xml:space="preserve">Challenge 3: Keeping track of where every endoscope is and whether it is ready for use</t>
        </is>
      </c>
      <c r="D436" t="inlineStr" s="2">
        <is>
          <t xml:space="preserve">Herausforderung 3: Den Standort jedes Endoskops und seine Einsatzbereitschaft im Blick behalten</t>
        </is>
      </c>
      <c r="E436" t="inlineStr" s="0">
        <is>
          <t xml:space="preserve">Medium</t>
        </is>
      </c>
      <c r="F436" s="4"/>
      <c r="G436" t="inlineStr" s="2">
        <is>
          <t xml:space="preserve">Herausforderung 1: Transparenz über Personen, Eingriffe und Endoskope hinweg sicherstellen</t>
        </is>
      </c>
      <c r="H436" t="inlineStr" s="2">
        <is>
          <t xml:space="preserve">Herausforderung 7: Arbeitsabläufe zwischen Endoskopie und Aufbereitung koordinieren</t>
        </is>
      </c>
      <c r="I436" t="inlineStr" s="2">
        <is>
          <t xml:space="preserve">Viele kritische Tätigkeiten bei der Endoskopaufbereitung hängen weiterhin von der manuellen Durchführung ab. Dazu gehören beispielsweise:</t>
        </is>
      </c>
      <c r="J436" s="4"/>
      <c r="K436" s="2"/>
      <c r="L436" t="str" s="3">
        <f>HYPERLINK("https://www.getinge.com/de/news-und-events/neuigkeiten/gesundheitswesen/warum-vollstaendige-informationen-ueber-den-lebenszyklus-von-endoskopen-wichtig-sind/","/news-und-events/neuigkeiten/gesundheitswesen/warum-vollstaendige-informationen-ueber-den-lebenszyklus-von-endoskopen-wichtig-sind/")</f>
        <v>/news-und-events/neuigkeiten/gesundheitswesen/warum-vollstaendige-informationen-ueber-den-lebenszyklus-von-endoskopen-wichtig-sind/</v>
      </c>
    </row>
    <row r="437">
      <c r="A437" s="0">
        <v>436</v>
      </c>
      <c r="B437" t="str" s="3">
        <f>HYPERLINK("https://www.getinge.com/int/insights/updates/healthcare/why-complete-endoscope-lifecycle-information-matters/","/insights/updates/healthcare/why-complete-endoscope-lifecycle-information-matters/")</f>
        <v>/insights/updates/healthcare/why-complete-endoscope-lifecycle-information-matters/</v>
      </c>
      <c r="C437" t="inlineStr" s="2">
        <is>
          <t xml:space="preserve">Endoscopes move continuously between treatment rooms, reprocessing areas, drying cabinets, storage locations, transport containers, and repair facilities. Staff therefore need quick answers to simple but critical questions:</t>
        </is>
      </c>
      <c r="D437" t="inlineStr" s="2">
        <is>
          <t xml:space="preserve">Endoskope wechseln kontinuierlich zwischen Untersuchungsräumen, Aufbereitungsbereichen, Trocknungsschränken, Lagerorten, Transportbehältern und Reparatureinrichtungen. Mitarbeitende benötigen daher schnelle Antworten auf einfache, aber entscheidende Fragen:</t>
        </is>
      </c>
      <c r="E437" t="inlineStr" s="0">
        <is>
          <t xml:space="preserve">Medium</t>
        </is>
      </c>
      <c r="F437" s="4"/>
      <c r="G437" t="inlineStr" s="2">
        <is>
          <t xml:space="preserve">Endoskope sind wertvolle Ressourcen, die häufig ständig benötigt werden. Zu jedem Zeitpunkt können sich einige Geräte im Einsatz, in der Aufbereitung, bei der Trocknung und Lagerung, vor einer Wartung oder in Reparatur befinden.</t>
        </is>
      </c>
      <c r="H437" t="inlineStr" s="2">
        <is>
          <t xml:space="preserve">Zu wissen, wo sich jedes Endoskop befindet und ob es einsatzbereit ist: Klare Informationen über Standort, Status und Verfügbarkeit helfen Mitarbeitenden, geeignete Geräte schneller zu finden und den vorhandenen Gerätebestand besser zu nutzen.</t>
        </is>
      </c>
      <c r="I437" t="inlineStr" s="2">
        <is>
          <t xml:space="preserve">Zeitkritische Prozesse unter Kontrolle zu behalten: Die Überwachung von Prozessschritten, Trocknungsstatus und Lagerfristen hilft dabei, übersehene Anforderungen zu vermeiden und unnötige erneute Aufbereitungen zu verhindern.</t>
        </is>
      </c>
      <c r="J437" s="4"/>
      <c r="K437" s="2"/>
      <c r="L437" t="str" s="3">
        <f>HYPERLINK("https://www.getinge.com/de/news-und-events/neuigkeiten/gesundheitswesen/warum-vollstaendige-informationen-ueber-den-lebenszyklus-von-endoskopen-wichtig-sind/","/news-und-events/neuigkeiten/gesundheitswesen/warum-vollstaendige-informationen-ueber-den-lebenszyklus-von-endoskopen-wichtig-sind/")</f>
        <v>/news-und-events/neuigkeiten/gesundheitswesen/warum-vollstaendige-informationen-ueber-den-lebenszyklus-von-endoskopen-wichtig-sind/</v>
      </c>
    </row>
    <row r="438">
      <c r="A438" s="0">
        <v>437</v>
      </c>
      <c r="B438" t="str" s="3">
        <f>HYPERLINK("https://www.getinge.com/int/insights/updates/healthcare/why-complete-endoscope-lifecycle-information-matters/","/insights/updates/healthcare/why-complete-endoscope-lifecycle-information-matters/")</f>
        <v>/insights/updates/healthcare/why-complete-endoscope-lifecycle-information-matters/</v>
      </c>
      <c r="C438" t="inlineStr" s="2">
        <is>
          <t xml:space="preserve">Where is the endoscope?</t>
        </is>
      </c>
      <c r="D438" t="inlineStr" s="2">
        <is>
          <t xml:space="preserve">Wo befindet sich das Endoskop?</t>
        </is>
      </c>
      <c r="E438" t="inlineStr" s="0">
        <is>
          <t xml:space="preserve">High</t>
        </is>
      </c>
      <c r="F438" s="4"/>
      <c r="G438" t="inlineStr" s="2">
        <is>
          <t xml:space="preserve">Reinigung der Rückseite</t>
        </is>
      </c>
      <c r="H438" t="inlineStr" s="2">
        <is>
          <t xml:space="preserve">Informationen über Endoskope zusammenführen</t>
        </is>
      </c>
      <c r="I438" t="inlineStr" s="2">
        <is>
          <t xml:space="preserve">Befindet es sich derzeit in Reparatur?</t>
        </is>
      </c>
      <c r="J438" s="4"/>
      <c r="K438" s="2"/>
      <c r="L438" t="str" s="3">
        <f>HYPERLINK("https://www.getinge.com/de/news-und-events/neuigkeiten/gesundheitswesen/warum-vollstaendige-informationen-ueber-den-lebenszyklus-von-endoskopen-wichtig-sind/","/news-und-events/neuigkeiten/gesundheitswesen/warum-vollstaendige-informationen-ueber-den-lebenszyklus-von-endoskopen-wichtig-sind/")</f>
        <v>/news-und-events/neuigkeiten/gesundheitswesen/warum-vollstaendige-informationen-ueber-den-lebenszyklus-von-endoskopen-wichtig-sind/</v>
      </c>
    </row>
    <row r="439">
      <c r="A439" s="0">
        <v>438</v>
      </c>
      <c r="B439" t="str" s="3">
        <f>HYPERLINK("https://www.getinge.com/int/insights/updates/healthcare/why-complete-endoscope-lifecycle-information-matters/","/insights/updates/healthcare/why-complete-endoscope-lifecycle-information-matters/")</f>
        <v>/insights/updates/healthcare/why-complete-endoscope-lifecycle-information-matters/</v>
      </c>
      <c r="C439" t="inlineStr" s="2">
        <is>
          <t xml:space="preserve">Is it approaching its storage limit?</t>
        </is>
      </c>
      <c r="D439" s="2"/>
      <c r="F439" s="4"/>
      <c r="G439" t="inlineStr" s="2">
        <is>
          <t xml:space="preserve">Nähert es sich dem Ende seiner Lagerfrist?</t>
        </is>
      </c>
      <c r="H439" t="inlineStr" s="2">
        <is>
          <t xml:space="preserve">Befindet es sich derzeit in Reparatur?</t>
        </is>
      </c>
      <c r="I439" t="inlineStr" s="2">
        <is>
          <t xml:space="preserve">Informationen über Endoskope zusammenführen</t>
        </is>
      </c>
      <c r="J439" s="4"/>
      <c r="K439" s="2"/>
      <c r="L439" t="str" s="3">
        <f>HYPERLINK("https://www.getinge.com/de/news-und-events/neuigkeiten/gesundheitswesen/warum-vollstaendige-informationen-ueber-den-lebenszyklus-von-endoskopen-wichtig-sind/","/news-und-events/neuigkeiten/gesundheitswesen/warum-vollstaendige-informationen-ueber-den-lebenszyklus-von-endoskopen-wichtig-sind/")</f>
        <v>/news-und-events/neuigkeiten/gesundheitswesen/warum-vollstaendige-informationen-ueber-den-lebenszyklus-von-endoskopen-wichtig-sind/</v>
      </c>
    </row>
    <row r="440">
      <c r="A440" s="0">
        <v>439</v>
      </c>
      <c r="B440" t="str" s="3">
        <f>HYPERLINK("https://www.getinge.com/int/insights/updates/healthcare/why-complete-endoscope-lifecycle-information-matters/","/insights/updates/healthcare/why-complete-endoscope-lifecycle-information-matters/")</f>
        <v>/insights/updates/healthcare/why-complete-endoscope-lifecycle-information-matters/</v>
      </c>
      <c r="C440" t="inlineStr" s="2">
        <is>
          <t xml:space="preserve">Is it currently under repair?</t>
        </is>
      </c>
      <c r="D440" t="inlineStr" s="2">
        <is>
          <t xml:space="preserve">Befindet es sich derzeit in Reparatur?</t>
        </is>
      </c>
      <c r="E440" t="inlineStr" s="0">
        <is>
          <t xml:space="preserve">Medium</t>
        </is>
      </c>
      <c r="F440" s="4"/>
      <c r="G440" t="inlineStr" s="2">
        <is>
          <t xml:space="preserve">Wo befindet sich das Endoskop?</t>
        </is>
      </c>
      <c r="H440" t="inlineStr" s="2">
        <is>
          <t xml:space="preserve">Nähert es sich dem Ende seiner Lagerfrist?</t>
        </is>
      </c>
      <c r="I440" t="inlineStr" s="2">
        <is>
          <t xml:space="preserve">Reinigung der Rückseite</t>
        </is>
      </c>
      <c r="J440" s="4"/>
      <c r="K440" s="2"/>
      <c r="L440" t="str" s="3">
        <f>HYPERLINK("https://www.getinge.com/de/news-und-events/neuigkeiten/gesundheitswesen/warum-vollstaendige-informationen-ueber-den-lebenszyklus-von-endoskopen-wichtig-sind/","/news-und-events/neuigkeiten/gesundheitswesen/warum-vollstaendige-informationen-ueber-den-lebenszyklus-von-endoskopen-wichtig-sind/")</f>
        <v>/news-und-events/neuigkeiten/gesundheitswesen/warum-vollstaendige-informationen-ueber-den-lebenszyklus-von-endoskopen-wichtig-sind/</v>
      </c>
    </row>
    <row r="441">
      <c r="A441" s="0">
        <v>440</v>
      </c>
      <c r="B441" t="str" s="3">
        <f>HYPERLINK("https://www.getinge.com/int/insights/updates/healthcare/why-complete-endoscope-lifecycle-information-matters/","/insights/updates/healthcare/why-complete-endoscope-lifecycle-information-matters/")</f>
        <v>/insights/updates/healthcare/why-complete-endoscope-lifecycle-information-matters/</v>
      </c>
      <c r="C441" t="inlineStr" s="2">
        <is>
          <t xml:space="preserve">As procedure volumes increase and more devices are in constant use, knowing the location, status, and availability of each endoscope becomes increasingly important. Without this information, hospitals may face delays, unnecessary reprocessing, underutilized assets, or difficulties locating devices when needed.</t>
        </is>
      </c>
      <c r="D441" t="inlineStr" s="2">
        <is>
          <t xml:space="preserve">Mit steigenden Untersuchungszahlen und einer zunehmenden Anzahl ständig eingesetzter Geräte wird es immer wichtiger, den Standort, Status und die Verfügbarkeit jedes einzelnen Endoskops zu kennen. Ohne diese Informationen kann es in Krankenhäusern zu Verzögerungen, unnötigen erneuten Aufbereitungen, einer unzureichenden Nutzung vorhandener Geräte oder Schwierigkeiten beim Auffinden benötigter Endoskope kommen.</t>
        </is>
      </c>
      <c r="E441" t="inlineStr" s="0">
        <is>
          <t xml:space="preserve">Low</t>
        </is>
      </c>
      <c r="F441" s="4"/>
      <c r="G441" t="inlineStr" s="2">
        <is>
          <t xml:space="preserve">Unterschiedliche Zuständigkeiten, Dokumentationspraktiken, Kommunikationsprozesse und Prioritäten bei Arbeitsabläufen können zu Informations- und Koordinationslücken zwischen den Abteilungen führen. Mitarbeitende müssen daher sowohl das Endoskop als auch seine Dokumentation durch die verschiedenen Phasen des Lebenszyklus verfolgen können.</t>
        </is>
      </c>
      <c r="H441" t="inlineStr" s="2">
        <is>
          <t xml:space="preserve">Das Management von Endoskopen findet selten innerhalb einer einzigen Abteilung statt. Die Verantwortung wird häufig zwischen Endoskopieabteilungen, Aufbereitungsabteilungen, Teams der Sterilgutaufbereitung, der Medizintechnik und weiteren Beteiligten geteilt, die an der Handhabung, Wartung und Nachverfolgung von Endoskopen beteiligt sind.</t>
        </is>
      </c>
      <c r="I441" t="inlineStr" s="2">
        <is>
          <t xml:space="preserve">Die vollständige Historie eines Endoskops nachzuvollziehen, wenn es darauf ankommt: Durch die Verknüpfung von Informationen zu Patienten, Eingriffen, Geräten, Mitarbeitenden, Aufbereitung, Lagerung und Wartung können Krankenhäuser bei Audits, Untersuchungen oder Qualitätsprüfungen leichter auf die vollständige Rückverfolgbarkeitskette zugreifen.</t>
        </is>
      </c>
      <c r="J441" s="4"/>
      <c r="K441" s="2"/>
      <c r="L441" t="str" s="3">
        <f>HYPERLINK("https://www.getinge.com/de/news-und-events/neuigkeiten/gesundheitswesen/warum-vollstaendige-informationen-ueber-den-lebenszyklus-von-endoskopen-wichtig-sind/","/news-und-events/neuigkeiten/gesundheitswesen/warum-vollstaendige-informationen-ueber-den-lebenszyklus-von-endoskopen-wichtig-sind/")</f>
        <v>/news-und-events/neuigkeiten/gesundheitswesen/warum-vollstaendige-informationen-ueber-den-lebenszyklus-von-endoskopen-wichtig-sind/</v>
      </c>
    </row>
    <row r="442">
      <c r="A442" s="0">
        <v>441</v>
      </c>
      <c r="B442" t="str" s="3">
        <f>HYPERLINK("https://www.getinge.com/int/insights/updates/healthcare/why-complete-endoscope-lifecycle-information-matters/","/insights/updates/healthcare/why-complete-endoscope-lifecycle-information-matters/")</f>
        <v>/insights/updates/healthcare/why-complete-endoscope-lifecycle-information-matters/</v>
      </c>
      <c r="C442" t="inlineStr" s="2">
        <is>
          <t xml:space="preserve">Challenge 4: Ensuring consistency across manual handling steps</t>
        </is>
      </c>
      <c r="D442" t="inlineStr" s="2">
        <is>
          <t xml:space="preserve">Herausforderung 4: Eine einheitliche Durchführung manueller Arbeitsschritte sicherstellen</t>
        </is>
      </c>
      <c r="E442" t="inlineStr" s="0">
        <is>
          <t xml:space="preserve">Medium</t>
        </is>
      </c>
      <c r="F442" s="4"/>
      <c r="G442" t="inlineStr" s="2">
        <is>
          <t xml:space="preserve">Herausforderung 6: Die Verfügbarkeit kostspieliger Medizinprodukte maximieren</t>
        </is>
      </c>
      <c r="H442" t="inlineStr" s="2">
        <is>
          <t xml:space="preserve">Herausforderung 5: Unterschiedliche Endoskopbestände verwalten</t>
        </is>
      </c>
      <c r="I442" t="inlineStr" s="2">
        <is>
          <t xml:space="preserve">Herausforderung 7: Arbeitsabläufe zwischen Endoskopie und Aufbereitung koordinieren</t>
        </is>
      </c>
      <c r="J442" s="4"/>
      <c r="K442" s="2"/>
      <c r="L442" t="str" s="3">
        <f>HYPERLINK("https://www.getinge.com/de/news-und-events/neuigkeiten/gesundheitswesen/warum-vollstaendige-informationen-ueber-den-lebenszyklus-von-endoskopen-wichtig-sind/","/news-und-events/neuigkeiten/gesundheitswesen/warum-vollstaendige-informationen-ueber-den-lebenszyklus-von-endoskopen-wichtig-sind/")</f>
        <v>/news-und-events/neuigkeiten/gesundheitswesen/warum-vollstaendige-informationen-ueber-den-lebenszyklus-von-endoskopen-wichtig-sind/</v>
      </c>
    </row>
    <row r="443">
      <c r="A443" s="0">
        <v>442</v>
      </c>
      <c r="B443" t="str" s="3">
        <f>HYPERLINK("https://www.getinge.com/int/insights/updates/healthcare/why-complete-endoscope-lifecycle-information-matters/","/insights/updates/healthcare/why-complete-endoscope-lifecycle-information-matters/")</f>
        <v>/insights/updates/healthcare/why-complete-endoscope-lifecycle-information-matters/</v>
      </c>
      <c r="C443" t="inlineStr" s="2">
        <is>
          <t xml:space="preserve">Many critical activities in endoscope reprocessing still depend on manual execution. This includes tasks such as:</t>
        </is>
      </c>
      <c r="D443" t="inlineStr" s="2">
        <is>
          <t xml:space="preserve">Viele kritische Tätigkeiten bei der Endoskopaufbereitung hängen weiterhin von der manuellen Durchführung ab. Dazu gehören beispielsweise:</t>
        </is>
      </c>
      <c r="E443" t="inlineStr" s="0">
        <is>
          <t xml:space="preserve">Medium</t>
        </is>
      </c>
      <c r="F443" s="4"/>
      <c r="G443" t="inlineStr" s="2">
        <is>
          <t xml:space="preserve">Das bedeutet, dass das Management von Endoskopen mehr umfasst als nur die Bestätigung, dass die Aufbereitung erfolgreich abgeschlossen wurde.</t>
        </is>
      </c>
      <c r="H443" t="inlineStr" s="2">
        <is>
          <t xml:space="preserve">Zu verstehen, warum Geräte nicht verfügbar sind: Die Nachverfolgung von Wartungs- und Reparaturmaßnahmen schafft mehr Transparenz über Ausfallzeiten, Durchlaufzeiten und Geräteverfügbarkeit.</t>
        </is>
      </c>
      <c r="I443" t="inlineStr" s="2">
        <is>
          <t xml:space="preserve">Mitarbeitende benötigen daher klare Anweisungen zu den spezifischen Anforderungen jedes Gerätetyps. Dies hilft sicherzustellen, dass für jedes Endoskop die korrekten Handhabungs- und Aufbereitungsverfahren eingehalten werden.</t>
        </is>
      </c>
      <c r="J443" s="4"/>
      <c r="K443" s="2"/>
      <c r="L443" t="str" s="3">
        <f>HYPERLINK("https://www.getinge.com/de/news-und-events/neuigkeiten/gesundheitswesen/warum-vollstaendige-informationen-ueber-den-lebenszyklus-von-endoskopen-wichtig-sind/","/news-und-events/neuigkeiten/gesundheitswesen/warum-vollstaendige-informationen-ueber-den-lebenszyklus-von-endoskopen-wichtig-sind/")</f>
        <v>/news-und-events/neuigkeiten/gesundheitswesen/warum-vollstaendige-informationen-ueber-den-lebenszyklus-von-endoskopen-wichtig-sind/</v>
      </c>
    </row>
    <row r="444">
      <c r="A444" s="0">
        <v>443</v>
      </c>
      <c r="B444" t="str" s="3">
        <f>HYPERLINK("https://www.getinge.com/int/insights/updates/healthcare/why-complete-endoscope-lifecycle-information-matters/","/insights/updates/healthcare/why-complete-endoscope-lifecycle-information-matters/")</f>
        <v>/insights/updates/healthcare/why-complete-endoscope-lifecycle-information-matters/</v>
      </c>
      <c r="C444" t="inlineStr" s="2">
        <is>
          <t xml:space="preserve">Because many of these steps are performed manually, departments need to ensure consistent execution regardless of who carries them out. For flexible endoscopes, where safe reuse depends on correct handling across a sequence of individual steps, variation in execution can directly affect reprocessing quality. Training, staff turnover, and varying levels of experience can make this harder to maintain, particularly when new staff need to follow device- and process-specific requirements.</t>
        </is>
      </c>
      <c r="D444" t="inlineStr" s="2">
        <is>
          <t xml:space="preserve">Da viele dieser Schritte manuell durchgeführt werden, müssen Abteilungen sicherstellen, dass sie unabhängig von der ausführenden Person einheitlich erfolgen. Bei flexiblen Endoskopen, deren sichere Wiederverwendung von der korrekten Handhabung während einer Abfolge einzelner Schritte abhängt, können Unterschiede in der Durchführung die Qualität der Aufbereitung direkt beeinflussen. Schulungen, Personalwechsel und unterschiedliche Erfahrungsstände können es erschweren, diese Einheitlichkeit aufrechtzuerhalten, insbesondere wenn neue Mitarbeitende geräte- und prozessspezifische Anforderungen einhalten müssen.</t>
        </is>
      </c>
      <c r="E444" t="inlineStr" s="0">
        <is>
          <t xml:space="preserve">Medium</t>
        </is>
      </c>
      <c r="F444" s="4"/>
      <c r="G444" t="inlineStr" s="2">
        <is>
          <t xml:space="preserve">Dieses Maß an Rückverfolgbarkeit ist bei flexiblen Endoskopen besonders wichtig. Anders als viele chirurgische Instrumente werden sie in der Regel nicht auf dieselbe Weise sterilisiert. Ihre sichere Wiederverwendung hängt daher von einer wirksamen High-Level-Desinfektion und der korrekten Handhabung während des gesamten Prozesses ab. Wenn bei der Aufbereitung oder Handhabung Fehler auftreten, ist eine vollständige Rückverfolgbarkeit von Patient, Eingriff und Endoskop entscheidend, um mögliche Infektionsrisiken zu untersuchen.</t>
        </is>
      </c>
      <c r="H444" t="inlineStr" s="2">
        <is>
          <t xml:space="preserve">Anders als viele chirurgische Instrumente müssen Endoskope über mehrere zeitkritische Phasen ihres Lebenszyklus hinweg individuell nachverfolgt werden – vom Einsatz über die Aufbereitung, Trocknung und Lagerung bis zur erneuten klinischen Verwendung. Werden definierte Zeitgrenzen überschritten, kann eine erneute Aufbereitung erforderlich sein. Deshalb ist es besonders wichtig, während des gesamten Lebenszyklus eines Endoskops einen klaren Überblick über diese Zeitintervalle zu behalten. Dies erhöht die Komplexität des täglichen Endoskopmanagements zusätzlich.</t>
        </is>
      </c>
      <c r="I444" t="inlineStr" s="2">
        <is>
          <t xml:space="preserve">Fehlende Unterschriften, unvollständige Aufzeichnungen oder an unterschiedlichen Orten gespeicherte Informationen können es erschweren, die vollständige Historie eines Endoskops nachzuvollziehen. Dies ist besonders bei Audits oder Untersuchungen problematisch, bei denen die Dokumentation vollständig und leicht zugänglich sein muss. Manuelle Prozesse verursachen zudem zusätzlichen Verwaltungsaufwand und je nach Organisation große Mengen an Papierdokumentation.</t>
        </is>
      </c>
      <c r="J444" s="4"/>
      <c r="K444" s="2"/>
      <c r="L444" t="str" s="3">
        <f>HYPERLINK("https://www.getinge.com/de/news-und-events/neuigkeiten/gesundheitswesen/warum-vollstaendige-informationen-ueber-den-lebenszyklus-von-endoskopen-wichtig-sind/","/news-und-events/neuigkeiten/gesundheitswesen/warum-vollstaendige-informationen-ueber-den-lebenszyklus-von-endoskopen-wichtig-sind/")</f>
        <v>/news-und-events/neuigkeiten/gesundheitswesen/warum-vollstaendige-informationen-ueber-den-lebenszyklus-von-endoskopen-wichtig-sind/</v>
      </c>
    </row>
    <row r="445">
      <c r="A445" s="0">
        <v>444</v>
      </c>
      <c r="B445" t="str" s="3">
        <f>HYPERLINK("https://www.getinge.com/int/insights/updates/healthcare/why-complete-endoscope-lifecycle-information-matters/","/insights/updates/healthcare/why-complete-endoscope-lifecycle-information-matters/")</f>
        <v>/insights/updates/healthcare/why-complete-endoscope-lifecycle-information-matters/</v>
      </c>
      <c r="C445" t="inlineStr" s="2">
        <is>
          <t xml:space="preserve">Challenge 5: Managing diverse endoscope fleets</t>
        </is>
      </c>
      <c r="D445" t="inlineStr" s="2">
        <is>
          <t xml:space="preserve">Herausforderung 5: Unterschiedliche Endoskopbestände verwalten</t>
        </is>
      </c>
      <c r="E445" t="inlineStr" s="0">
        <is>
          <t xml:space="preserve">Medium</t>
        </is>
      </c>
      <c r="F445" s="4"/>
      <c r="G445" t="inlineStr" s="2">
        <is>
          <t xml:space="preserve">Wie die Endoskopdokumentation heute häufig verwaltet wird</t>
        </is>
      </c>
      <c r="H445" t="inlineStr" s="2">
        <is>
          <t xml:space="preserve">Informationen über Endoskope zusammenführen</t>
        </is>
      </c>
      <c r="I445" t="inlineStr" s="2">
        <is>
          <t xml:space="preserve">Herausforderung 2: Zeitkritische Arbeitsabläufe steuern</t>
        </is>
      </c>
      <c r="J445" s="4"/>
      <c r="K445" s="2"/>
      <c r="L445" t="str" s="3">
        <f>HYPERLINK("https://www.getinge.com/de/news-und-events/neuigkeiten/gesundheitswesen/warum-vollstaendige-informationen-ueber-den-lebenszyklus-von-endoskopen-wichtig-sind/","/news-und-events/neuigkeiten/gesundheitswesen/warum-vollstaendige-informationen-ueber-den-lebenszyklus-von-endoskopen-wichtig-sind/")</f>
        <v>/news-und-events/neuigkeiten/gesundheitswesen/warum-vollstaendige-informationen-ueber-den-lebenszyklus-von-endoskopen-wichtig-sind/</v>
      </c>
    </row>
    <row r="446">
      <c r="A446" s="0">
        <v>445</v>
      </c>
      <c r="B446" t="str" s="3">
        <f>HYPERLINK("https://www.getinge.com/int/insights/updates/healthcare/why-complete-endoscope-lifecycle-information-matters/","/insights/updates/healthcare/why-complete-endoscope-lifecycle-information-matters/")</f>
        <v>/insights/updates/healthcare/why-complete-endoscope-lifecycle-information-matters/</v>
      </c>
      <c r="C446" t="inlineStr" s="2">
        <is>
          <t xml:space="preserve">Hospitals often manage a growing variety of endoscope types with different levels of complexity and different handling requirements. Applying the same procedures across all devices without sufficiently considering these differences can create risks in reprocessing and handling. Staff therefore need clear instructions for the specific requirements of each device type. This helps ensure that the correct handling and reprocessing procedures are followed for each endoscope.</t>
        </is>
      </c>
      <c r="D446" s="2"/>
      <c r="F446" s="4"/>
      <c r="G446" t="inlineStr" s="2">
        <is>
          <t xml:space="preserve">Dieses Maß an Rückverfolgbarkeit ist bei flexiblen Endoskopen besonders wichtig. Anders als viele chirurgische Instrumente werden sie in der Regel nicht auf dieselbe Weise sterilisiert. Ihre sichere Wiederverwendung hängt daher von einer wirksamen High-Level-Desinfektion und der korrekten Handhabung während des gesamten Prozesses ab. Wenn bei der Aufbereitung oder Handhabung Fehler auftreten, ist eine vollständige Rückverfolgbarkeit von Patient, Eingriff und Endoskop entscheidend, um mögliche Infektionsrisiken zu untersuchen.</t>
        </is>
      </c>
      <c r="H446" t="inlineStr" s="2">
        <is>
          <t xml:space="preserve">Anders als viele chirurgische Instrumente müssen Endoskope über mehrere zeitkritische Phasen ihres Lebenszyklus hinweg individuell nachverfolgt werden – vom Einsatz über die Aufbereitung, Trocknung und Lagerung bis zur erneuten klinischen Verwendung. Werden definierte Zeitgrenzen überschritten, kann eine erneute Aufbereitung erforderlich sein. Deshalb ist es besonders wichtig, während des gesamten Lebenszyklus eines Endoskops einen klaren Überblick über diese Zeitintervalle zu behalten. Dies erhöht die Komplexität des täglichen Endoskopmanagements zusätzlich.</t>
        </is>
      </c>
      <c r="I446" t="inlineStr" s="2">
        <is>
          <t xml:space="preserve">Da viele dieser Schritte manuell durchgeführt werden, müssen Abteilungen sicherstellen, dass sie unabhängig von der ausführenden Person einheitlich erfolgen. Bei flexiblen Endoskopen, deren sichere Wiederverwendung von der korrekten Handhabung während einer Abfolge einzelner Schritte abhängt, können Unterschiede in der Durchführung die Qualität der Aufbereitung direkt beeinflussen. Schulungen, Personalwechsel und unterschiedliche Erfahrungsstände können es erschweren, diese Einheitlichkeit aufrechtzuerhalten, insbesondere wenn neue Mitarbeitende geräte- und prozessspezifische Anforderungen einhalten müssen.</t>
        </is>
      </c>
      <c r="J446" s="4"/>
      <c r="K446" s="2"/>
      <c r="L446" t="str" s="3">
        <f>HYPERLINK("https://www.getinge.com/de/news-und-events/neuigkeiten/gesundheitswesen/warum-vollstaendige-informationen-ueber-den-lebenszyklus-von-endoskopen-wichtig-sind/","/news-und-events/neuigkeiten/gesundheitswesen/warum-vollstaendige-informationen-ueber-den-lebenszyklus-von-endoskopen-wichtig-sind/")</f>
        <v>/news-und-events/neuigkeiten/gesundheitswesen/warum-vollstaendige-informationen-ueber-den-lebenszyklus-von-endoskopen-wichtig-sind/</v>
      </c>
    </row>
    <row r="447">
      <c r="A447" s="0">
        <v>446</v>
      </c>
      <c r="B447" t="str" s="3">
        <f>HYPERLINK("https://www.getinge.com/int/insights/updates/healthcare/why-complete-endoscope-lifecycle-information-matters/","/insights/updates/healthcare/why-complete-endoscope-lifecycle-information-matters/")</f>
        <v>/insights/updates/healthcare/why-complete-endoscope-lifecycle-information-matters/</v>
      </c>
      <c r="C447" t="inlineStr" s="2">
        <is>
          <t xml:space="preserve">Challenge 6: Maximizing availability of expensive assets</t>
        </is>
      </c>
      <c r="D447" t="inlineStr" s="2">
        <is>
          <t xml:space="preserve">Herausforderung 6: Die Verfügbarkeit kostspieliger Medizinprodukte maximieren</t>
        </is>
      </c>
      <c r="E447" t="inlineStr" s="0">
        <is>
          <t xml:space="preserve">Medium</t>
        </is>
      </c>
      <c r="F447" s="4"/>
      <c r="G447" t="inlineStr" s="2">
        <is>
          <t xml:space="preserve">Herausforderung 5: Unterschiedliche Endoskopbestände verwalten</t>
        </is>
      </c>
      <c r="H447" t="inlineStr" s="2">
        <is>
          <t xml:space="preserve">Wie die Endoskopdokumentation heute häufig verwaltet wird</t>
        </is>
      </c>
      <c r="I447" t="inlineStr" s="2">
        <is>
          <t xml:space="preserve">Herausforderung 2: Zeitkritische Arbeitsabläufe steuern</t>
        </is>
      </c>
      <c r="J447" s="4"/>
      <c r="K447" s="2"/>
      <c r="L447" t="str" s="3">
        <f>HYPERLINK("https://www.getinge.com/de/news-und-events/neuigkeiten/gesundheitswesen/warum-vollstaendige-informationen-ueber-den-lebenszyklus-von-endoskopen-wichtig-sind/","/news-und-events/neuigkeiten/gesundheitswesen/warum-vollstaendige-informationen-ueber-den-lebenszyklus-von-endoskopen-wichtig-sind/")</f>
        <v>/news-und-events/neuigkeiten/gesundheitswesen/warum-vollstaendige-informationen-ueber-den-lebenszyklus-von-endoskopen-wichtig-sind/</v>
      </c>
    </row>
    <row r="448">
      <c r="A448" s="0">
        <v>447</v>
      </c>
      <c r="B448" t="str" s="3">
        <f>HYPERLINK("https://www.getinge.com/int/insights/updates/healthcare/why-complete-endoscope-lifecycle-information-matters/","/insights/updates/healthcare/why-complete-endoscope-lifecycle-information-matters/")</f>
        <v>/insights/updates/healthcare/why-complete-endoscope-lifecycle-information-matters/</v>
      </c>
      <c r="C448" t="inlineStr" s="2">
        <is>
          <t xml:space="preserve">Endoscopes are valuable resources that are often in constant demand. At any given time, some devices may be in use, undergoing reprocessing, in drying and storage, awaiting maintenance, or under repair.</t>
        </is>
      </c>
      <c r="D448" t="inlineStr" s="2">
        <is>
          <t xml:space="preserve">Endoskope sind wertvolle Ressourcen, die häufig ständig benötigt werden. Zu jedem Zeitpunkt können sich einige Geräte im Einsatz, in der Aufbereitung, bei der Trocknung und Lagerung, vor einer Wartung oder in Reparatur befinden.</t>
        </is>
      </c>
      <c r="E448" t="inlineStr" s="0">
        <is>
          <t xml:space="preserve">Medium</t>
        </is>
      </c>
      <c r="F448" s="4"/>
      <c r="G448" t="inlineStr" s="2">
        <is>
          <t xml:space="preserve">Endoskope wechseln kontinuierlich zwischen Untersuchungsräumen, Aufbereitungsbereichen, Trocknungsschränken, Lagerorten, Transportbehältern und Reparatureinrichtungen. Mitarbeitende benötigen daher schnelle Antworten auf einfache, aber entscheidende Fragen:</t>
        </is>
      </c>
      <c r="H448" t="inlineStr" s="2">
        <is>
          <t xml:space="preserve">Zu wissen, wo sich jedes Endoskop befindet und ob es einsatzbereit ist: Klare Informationen über Standort, Status und Verfügbarkeit helfen Mitarbeitenden, geeignete Geräte schneller zu finden und den vorhandenen Gerätebestand besser zu nutzen.</t>
        </is>
      </c>
      <c r="I448" t="inlineStr" s="2">
        <is>
          <t xml:space="preserve">Mitarbeitende benötigen daher klare Anweisungen zu den spezifischen Anforderungen jedes Gerätetyps. Dies hilft sicherzustellen, dass für jedes Endoskop die korrekten Handhabungs- und Aufbereitungsverfahren eingehalten werden.</t>
        </is>
      </c>
      <c r="J448" s="4"/>
      <c r="K448" s="2"/>
      <c r="L448" t="str" s="3">
        <f>HYPERLINK("https://www.getinge.com/de/news-und-events/neuigkeiten/gesundheitswesen/warum-vollstaendige-informationen-ueber-den-lebenszyklus-von-endoskopen-wichtig-sind/","/news-und-events/neuigkeiten/gesundheitswesen/warum-vollstaendige-informationen-ueber-den-lebenszyklus-von-endoskopen-wichtig-sind/")</f>
        <v>/news-und-events/neuigkeiten/gesundheitswesen/warum-vollstaendige-informationen-ueber-den-lebenszyklus-von-endoskopen-wichtig-sind/</v>
      </c>
    </row>
    <row r="449">
      <c r="A449" s="0">
        <v>448</v>
      </c>
      <c r="B449" t="str" s="3">
        <f>HYPERLINK("https://www.getinge.com/int/insights/updates/healthcare/why-complete-endoscope-lifecycle-information-matters/","/insights/updates/healthcare/why-complete-endoscope-lifecycle-information-matters/")</f>
        <v>/insights/updates/healthcare/why-complete-endoscope-lifecycle-information-matters/</v>
      </c>
      <c r="C449" t="inlineStr" s="2">
        <is>
          <t xml:space="preserve">The challenge is not only to know where individual endoscopes are. Departments also need to ensure that enough devices remain available to support clinical activity. Limited visibility into availability, maintenance, and turnaround times can contribute to delays, inefficient utilization, or unnecessary additional purchases.</t>
        </is>
      </c>
      <c r="D449" t="inlineStr" s="2">
        <is>
          <t xml:space="preserve">Die Herausforderung besteht nicht nur darin, zu wissen, wo sich einzelne Endoskope befinden. Abteilungen müssen auch sicherstellen, dass genügend Geräte verfügbar bleiben, um den klinischen Betrieb zu unterstützen. Eine eingeschränkte Transparenz über Verfügbarkeit, Wartung und Durchlaufzeiten kann zu Verzögerungen, ineffizienter Nutzung oder unnötigen zusätzlichen Anschaffungen beitragen.</t>
        </is>
      </c>
      <c r="E449" t="inlineStr" s="0">
        <is>
          <t xml:space="preserve">Low</t>
        </is>
      </c>
      <c r="F449" s="4"/>
      <c r="G449" t="inlineStr" s="2">
        <is>
          <t xml:space="preserve">In stark ausgelasteten Endoskopieabteilungen können im Laufe des Tages mehrere ähnliche Endoskope eingesetzt werden. Wenn ein Qualitätsproblem auftritt oder eine Untersuchung erforderlich ist, müssen die Abteilungen nachvollziehen können, welcher Patient behandelt wurde, welches Endoskop verwendet wurde, wer es gehandhabt hat und welche Aufbereitungsschritte abgeschlossen wurden.</t>
        </is>
      </c>
      <c r="H449" t="inlineStr" s="2">
        <is>
          <t xml:space="preserve">Krankenhäuser verwalten häufig eine wachsende Vielfalt an Endoskoptypen mit unterschiedlicher Komplexität und unterschiedlichen Anforderungen an die Handhabung. Werden dieselben Verfahren auf alle Geräte angewendet, ohne diese Unterschiede ausreichend zu berücksichtigen, können Risiken bei der Aufbereitung und Handhabung entstehen.</t>
        </is>
      </c>
      <c r="I449" t="inlineStr" s="2">
        <is>
          <t xml:space="preserve">Unterschiedliche Zuständigkeiten, Dokumentationspraktiken, Kommunikationsprozesse und Prioritäten bei Arbeitsabläufen können zu Informations- und Koordinationslücken zwischen den Abteilungen führen. Mitarbeitende müssen daher sowohl das Endoskop als auch seine Dokumentation durch die verschiedenen Phasen des Lebenszyklus verfolgen können.</t>
        </is>
      </c>
      <c r="J449" s="4"/>
      <c r="K449" s="2"/>
      <c r="L449" t="str" s="3">
        <f>HYPERLINK("https://www.getinge.com/de/news-und-events/neuigkeiten/gesundheitswesen/warum-vollstaendige-informationen-ueber-den-lebenszyklus-von-endoskopen-wichtig-sind/","/news-und-events/neuigkeiten/gesundheitswesen/warum-vollstaendige-informationen-ueber-den-lebenszyklus-von-endoskopen-wichtig-sind/")</f>
        <v>/news-und-events/neuigkeiten/gesundheitswesen/warum-vollstaendige-informationen-ueber-den-lebenszyklus-von-endoskopen-wichtig-sind/</v>
      </c>
    </row>
    <row r="450">
      <c r="A450" s="0">
        <v>449</v>
      </c>
      <c r="B450" t="str" s="3">
        <f>HYPERLINK("https://www.getinge.com/int/insights/updates/healthcare/why-complete-endoscope-lifecycle-information-matters/","/insights/updates/healthcare/why-complete-endoscope-lifecycle-information-matters/")</f>
        <v>/insights/updates/healthcare/why-complete-endoscope-lifecycle-information-matters/</v>
      </c>
      <c r="C450" t="inlineStr" s="2">
        <is>
          <t xml:space="preserve">Challenge 7: Coordinating endoscopy and reprocessing workflows</t>
        </is>
      </c>
      <c r="D450" t="inlineStr" s="2">
        <is>
          <t xml:space="preserve">Herausforderung 7: Arbeitsabläufe zwischen Endoskopie und Aufbereitung koordinieren</t>
        </is>
      </c>
      <c r="E450" t="inlineStr" s="0">
        <is>
          <t xml:space="preserve">High</t>
        </is>
      </c>
      <c r="F450" s="4"/>
      <c r="G450" t="inlineStr" s="2">
        <is>
          <t xml:space="preserve">Herausforderung 5: Unterschiedliche Endoskopbestände verwalten</t>
        </is>
      </c>
      <c r="H450" t="inlineStr" s="2">
        <is>
          <t xml:space="preserve">Wie die Endoskopdokumentation heute häufig verwaltet wird</t>
        </is>
      </c>
      <c r="I450" t="inlineStr" s="2">
        <is>
          <t xml:space="preserve">Herausforderung 1: Transparenz über Personen, Eingriffe und Endoskope hinweg sicherstellen</t>
        </is>
      </c>
      <c r="J450" s="4"/>
      <c r="K450" s="2"/>
      <c r="L450" t="str" s="3">
        <f>HYPERLINK("https://www.getinge.com/de/news-und-events/neuigkeiten/gesundheitswesen/warum-vollstaendige-informationen-ueber-den-lebenszyklus-von-endoskopen-wichtig-sind/","/news-und-events/neuigkeiten/gesundheitswesen/warum-vollstaendige-informationen-ueber-den-lebenszyklus-von-endoskopen-wichtig-sind/")</f>
        <v>/news-und-events/neuigkeiten/gesundheitswesen/warum-vollstaendige-informationen-ueber-den-lebenszyklus-von-endoskopen-wichtig-sind/</v>
      </c>
    </row>
    <row r="451">
      <c r="A451" s="0">
        <v>450</v>
      </c>
      <c r="B451" t="str" s="3">
        <f>HYPERLINK("https://www.getinge.com/int/insights/updates/healthcare/why-complete-endoscope-lifecycle-information-matters/","/insights/updates/healthcare/why-complete-endoscope-lifecycle-information-matters/")</f>
        <v>/insights/updates/healthcare/why-complete-endoscope-lifecycle-information-matters/</v>
      </c>
      <c r="C451" t="inlineStr" s="2">
        <is>
          <t xml:space="preserve">Endoscope management rarely takes place within a single department. Responsibility is often shared between endoscopy units, reprocessing departments, sterile processing teams, biomedical engineering, and other stakeholders involved in handling, maintaining, and tracking endoscopes.</t>
        </is>
      </c>
      <c r="D451" t="inlineStr" s="2">
        <is>
          <t xml:space="preserve">Das Management von Endoskopen findet selten innerhalb einer einzigen Abteilung statt. Die Verantwortung wird häufig zwischen Endoskopieabteilungen, Aufbereitungsabteilungen, Teams der Sterilgutaufbereitung, der Medizintechnik und weiteren Beteiligten geteilt, die an der Handhabung, Wartung und Nachverfolgung von Endoskopen beteiligt sind.</t>
        </is>
      </c>
      <c r="E451" t="inlineStr" s="0">
        <is>
          <t xml:space="preserve">Medium</t>
        </is>
      </c>
      <c r="F451" s="4"/>
      <c r="G451" t="inlineStr" s="2">
        <is>
          <t xml:space="preserve">Krankenhäuser verwalten häufig eine wachsende Vielfalt an Endoskoptypen mit unterschiedlicher Komplexität und unterschiedlichen Anforderungen an die Handhabung. Werden dieselben Verfahren auf alle Geräte angewendet, ohne diese Unterschiede ausreichend zu berücksichtigen, können Risiken bei der Aufbereitung und Handhabung entstehen.</t>
        </is>
      </c>
      <c r="H451" t="inlineStr" s="2">
        <is>
          <t xml:space="preserve">Je mehr Geräte, Prozessschritte und Aufzeichnungen Abteilungen verwalten müssen, desto schwieriger wird es, manuell einen vollständigen Überblick zu behalten. Ein digitales Endoskopmanagement kann relevante Informationen und Prozessschritte in einem System zusammenführen und Krankenhäuser dabei unterstützen:</t>
        </is>
      </c>
      <c r="I451" t="inlineStr" s="2">
        <is>
          <t xml:space="preserve">Arbeitsabläufe abteilungsübergreifend zu koordinieren: Wenn relevante Geräteinformationen an einem Ort verfügbar sind, können Teams ihre Tätigkeiten besser koordinieren, unterschiedliche Anforderungen an Endoskope berücksichtigen und erkennen, welche Geräte verfügbar, im richtigen Zustand und bei Bedarf einsatzbereit sind.</t>
        </is>
      </c>
      <c r="J451" s="4"/>
      <c r="K451" s="2"/>
      <c r="L451" t="str" s="3">
        <f>HYPERLINK("https://www.getinge.com/de/news-und-events/neuigkeiten/gesundheitswesen/warum-vollstaendige-informationen-ueber-den-lebenszyklus-von-endoskopen-wichtig-sind/","/news-und-events/neuigkeiten/gesundheitswesen/warum-vollstaendige-informationen-ueber-den-lebenszyklus-von-endoskopen-wichtig-sind/")</f>
        <v>/news-und-events/neuigkeiten/gesundheitswesen/warum-vollstaendige-informationen-ueber-den-lebenszyklus-von-endoskopen-wichtig-sind/</v>
      </c>
    </row>
    <row r="452">
      <c r="A452" s="0">
        <v>451</v>
      </c>
      <c r="B452" t="str" s="3">
        <f>HYPERLINK("https://www.getinge.com/int/insights/updates/healthcare/why-complete-endoscope-lifecycle-information-matters/","/insights/updates/healthcare/why-complete-endoscope-lifecycle-information-matters/")</f>
        <v>/insights/updates/healthcare/why-complete-endoscope-lifecycle-information-matters/</v>
      </c>
      <c r="C452" t="inlineStr" s="2">
        <is>
          <t xml:space="preserve">Differences in responsibilities, documentation practices, communication processes, and workflow priorities can create gaps in information and coordination between departments. Staff therefore need to be able to follow both the device and its documentation as it moves through the different stages of the lifecycle.</t>
        </is>
      </c>
      <c r="D452" t="inlineStr" s="2">
        <is>
          <t xml:space="preserve">Unterschiedliche Zuständigkeiten, Dokumentationspraktiken, Kommunikationsprozesse und Prioritäten bei Arbeitsabläufen können zu Informations- und Koordinationslücken zwischen den Abteilungen führen. Mitarbeitende müssen daher sowohl das Endoskop als auch seine Dokumentation durch die verschiedenen Phasen des Lebenszyklus verfolgen können.</t>
        </is>
      </c>
      <c r="E452" t="inlineStr" s="0">
        <is>
          <t xml:space="preserve">Medium</t>
        </is>
      </c>
      <c r="F452" s="4"/>
      <c r="G452" t="inlineStr" s="2">
        <is>
          <t xml:space="preserve">Die vollständige Historie eines Endoskops nachzuvollziehen, wenn es darauf ankommt: Durch die Verknüpfung von Informationen zu Patienten, Eingriffen, Geräten, Mitarbeitenden, Aufbereitung, Lagerung und Wartung können Krankenhäuser bei Audits, Untersuchungen oder Qualitätsprüfungen leichter auf die vollständige Rückverfolgbarkeitskette zugreifen.</t>
        </is>
      </c>
      <c r="H452" t="inlineStr" s="2">
        <is>
          <t xml:space="preserve">Arbeitsabläufe abteilungsübergreifend zu koordinieren: Wenn relevante Geräteinformationen an einem Ort verfügbar sind, können Teams ihre Tätigkeiten besser koordinieren, unterschiedliche Anforderungen an Endoskope berücksichtigen und erkennen, welche Geräte verfügbar, im richtigen Zustand und bei Bedarf einsatzbereit sind.</t>
        </is>
      </c>
      <c r="I452" t="inlineStr" s="2">
        <is>
          <t xml:space="preserve">Je mehr Geräte, Prozessschritte und Aufzeichnungen Abteilungen verwalten müssen, desto schwieriger wird es, manuell einen vollständigen Überblick zu behalten. Ein digitales Endoskopmanagement kann relevante Informationen und Prozessschritte in einem System zusammenführen und Krankenhäuser dabei unterstützen:</t>
        </is>
      </c>
      <c r="J452" s="4"/>
      <c r="K452" s="2"/>
      <c r="L452" t="str" s="3">
        <f>HYPERLINK("https://www.getinge.com/de/news-und-events/neuigkeiten/gesundheitswesen/warum-vollstaendige-informationen-ueber-den-lebenszyklus-von-endoskopen-wichtig-sind/","/news-und-events/neuigkeiten/gesundheitswesen/warum-vollstaendige-informationen-ueber-den-lebenszyklus-von-endoskopen-wichtig-sind/")</f>
        <v>/news-und-events/neuigkeiten/gesundheitswesen/warum-vollstaendige-informationen-ueber-den-lebenszyklus-von-endoskopen-wichtig-sind/</v>
      </c>
    </row>
    <row r="453">
      <c r="A453" s="0">
        <v>452</v>
      </c>
      <c r="B453" t="str" s="3">
        <f>HYPERLINK("https://www.getinge.com/int/insights/updates/healthcare/why-complete-endoscope-lifecycle-information-matters/","/insights/updates/healthcare/why-complete-endoscope-lifecycle-information-matters/")</f>
        <v>/insights/updates/healthcare/why-complete-endoscope-lifecycle-information-matters/</v>
      </c>
      <c r="C453" t="inlineStr" s="2">
        <is>
          <t xml:space="preserve">How endoscope documentation is often managed today</t>
        </is>
      </c>
      <c r="D453" t="inlineStr" s="2">
        <is>
          <t xml:space="preserve">Wie die Endoskopdokumentation heute häufig verwaltet wird</t>
        </is>
      </c>
      <c r="E453" t="inlineStr" s="0">
        <is>
          <t xml:space="preserve">Medium</t>
        </is>
      </c>
      <c r="F453" s="4"/>
      <c r="G453" t="inlineStr" s="2">
        <is>
          <t xml:space="preserve">Informationen über Endoskope zusammenführen</t>
        </is>
      </c>
      <c r="H453" t="inlineStr" s="2">
        <is>
          <t xml:space="preserve">Herausforderung 5: Unterschiedliche Endoskopbestände verwalten</t>
        </is>
      </c>
      <c r="I453" t="inlineStr" s="2">
        <is>
          <t xml:space="preserve">Wo befindet sich das Endoskop?</t>
        </is>
      </c>
      <c r="J453" s="4"/>
      <c r="K453" s="2"/>
      <c r="L453" t="str" s="3">
        <f>HYPERLINK("https://www.getinge.com/de/news-und-events/neuigkeiten/gesundheitswesen/warum-vollstaendige-informationen-ueber-den-lebenszyklus-von-endoskopen-wichtig-sind/","/news-und-events/neuigkeiten/gesundheitswesen/warum-vollstaendige-informationen-ueber-den-lebenszyklus-von-endoskopen-wichtig-sind/")</f>
        <v>/news-und-events/neuigkeiten/gesundheitswesen/warum-vollstaendige-informationen-ueber-den-lebenszyklus-von-endoskopen-wichtig-sind/</v>
      </c>
    </row>
    <row r="454">
      <c r="A454" s="0">
        <v>453</v>
      </c>
      <c r="B454" t="str" s="3">
        <f>HYPERLINK("https://www.getinge.com/int/insights/updates/healthcare/why-complete-endoscope-lifecycle-information-matters/","/insights/updates/healthcare/why-complete-endoscope-lifecycle-information-matters/")</f>
        <v>/insights/updates/healthcare/why-complete-endoscope-lifecycle-information-matters/</v>
      </c>
      <c r="C454" t="inlineStr" s="2">
        <is>
          <t xml:space="preserve">In practice, many hospitals still manage parts of the endoscope lifecycle through a combination of paper-based documentation, checklists, spreadsheets, and manual archiving. While these approaches can work, they require considerable coordination and disciplined quality management to ensure that documentation is complete, current, and available when needed.</t>
        </is>
      </c>
      <c r="D454" t="inlineStr" s="2">
        <is>
          <t xml:space="preserve">In der Praxis verwalten viele Krankenhäuser Teile des Endoskop-Lebenszyklus weiterhin mithilfe einer Kombination aus papierbasierter Dokumentation, Checklisten, Tabellen und manueller Archivierung. Auch wenn diese Ansätze funktionieren können, erfordern sie einen erheblichen Koordinationsaufwand und ein konsequentes Qualitätsmanagement, um sicherzustellen, dass die Dokumentation vollständig, aktuell und bei Bedarf verfügbar ist.</t>
        </is>
      </c>
      <c r="E454" t="inlineStr" s="0">
        <is>
          <t xml:space="preserve">Medium</t>
        </is>
      </c>
      <c r="F454" s="4"/>
      <c r="G454" t="inlineStr" s="2">
        <is>
          <t xml:space="preserve">In stark ausgelasteten Endoskopieabteilungen können im Laufe des Tages mehrere ähnliche Endoskope eingesetzt werden. Wenn ein Qualitätsproblem auftritt oder eine Untersuchung erforderlich ist, müssen die Abteilungen nachvollziehen können, welcher Patient behandelt wurde, welches Endoskop verwendet wurde, wer es gehandhabt hat und welche Aufbereitungsschritte abgeschlossen wurden.</t>
        </is>
      </c>
      <c r="H454" t="inlineStr" s="2">
        <is>
          <t xml:space="preserve">Unterschiedliche Zuständigkeiten, Dokumentationspraktiken, Kommunikationsprozesse und Prioritäten bei Arbeitsabläufen können zu Informations- und Koordinationslücken zwischen den Abteilungen führen. Mitarbeitende müssen daher sowohl das Endoskop als auch seine Dokumentation durch die verschiedenen Phasen des Lebenszyklus verfolgen können.</t>
        </is>
      </c>
      <c r="I454" t="inlineStr" s="2">
        <is>
          <t xml:space="preserve">Fehlende Unterschriften, unvollständige Aufzeichnungen oder an unterschiedlichen Orten gespeicherte Informationen können es erschweren, die vollständige Historie eines Endoskops nachzuvollziehen. Dies ist besonders bei Audits oder Untersuchungen problematisch, bei denen die Dokumentation vollständig und leicht zugänglich sein muss. Manuelle Prozesse verursachen zudem zusätzlichen Verwaltungsaufwand und je nach Organisation große Mengen an Papierdokumentation.</t>
        </is>
      </c>
      <c r="J454" s="4"/>
      <c r="K454" s="2"/>
      <c r="L454" t="str" s="3">
        <f>HYPERLINK("https://www.getinge.com/de/news-und-events/neuigkeiten/gesundheitswesen/warum-vollstaendige-informationen-ueber-den-lebenszyklus-von-endoskopen-wichtig-sind/","/news-und-events/neuigkeiten/gesundheitswesen/warum-vollstaendige-informationen-ueber-den-lebenszyklus-von-endoskopen-wichtig-sind/")</f>
        <v>/news-und-events/neuigkeiten/gesundheitswesen/warum-vollstaendige-informationen-ueber-den-lebenszyklus-von-endoskopen-wichtig-sind/</v>
      </c>
    </row>
    <row r="455">
      <c r="A455" s="0">
        <v>454</v>
      </c>
      <c r="B455" t="str" s="3">
        <f>HYPERLINK("https://www.getinge.com/int/insights/updates/healthcare/why-complete-endoscope-lifecycle-information-matters/","/insights/updates/healthcare/why-complete-endoscope-lifecycle-information-matters/")</f>
        <v>/insights/updates/healthcare/why-complete-endoscope-lifecycle-information-matters/</v>
      </c>
      <c r="C455" t="inlineStr" s="2">
        <is>
          <t xml:space="preserve">Missing signatures, incomplete records, or information stored in different places can make it difficult to reconstruct the full history of an endoscope. This becomes particularly challenging during audits or investigations, where documentation needs to be complete and easily accessible. Manual processes also create additional administrative work and, depending on the setup, large amounts of paper documentation.</t>
        </is>
      </c>
      <c r="D455" t="inlineStr" s="2">
        <is>
          <t xml:space="preserve">Fehlende Unterschriften, unvollständige Aufzeichnungen oder an unterschiedlichen Orten gespeicherte Informationen können es erschweren, die vollständige Historie eines Endoskops nachzuvollziehen. Dies ist besonders bei Audits oder Untersuchungen problematisch, bei denen die Dokumentation vollständig und leicht zugänglich sein muss. Manuelle Prozesse verursachen zudem zusätzlichen Verwaltungsaufwand und je nach Organisation große Mengen an Papierdokumentation.</t>
        </is>
      </c>
      <c r="E455" t="inlineStr" s="0">
        <is>
          <t xml:space="preserve">Medium</t>
        </is>
      </c>
      <c r="F455" s="4"/>
      <c r="G455" t="inlineStr" s="2">
        <is>
          <t xml:space="preserve">In der Praxis verwalten viele Krankenhäuser Teile des Endoskop-Lebenszyklus weiterhin mithilfe einer Kombination aus papierbasierter Dokumentation, Checklisten, Tabellen und manueller Archivierung. Auch wenn diese Ansätze funktionieren können, erfordern sie einen erheblichen Koordinationsaufwand und ein konsequentes Qualitätsmanagement, um sicherzustellen, dass die Dokumentation vollständig, aktuell und bei Bedarf verfügbar ist.</t>
        </is>
      </c>
      <c r="H455" t="inlineStr" s="2">
        <is>
          <t xml:space="preserve">Mit steigenden Untersuchungszahlen und einer zunehmenden Anzahl ständig eingesetzter Geräte wird es immer wichtiger, den Standort, Status und die Verfügbarkeit jedes einzelnen Endoskops zu kennen. Ohne diese Informationen kann es in Krankenhäusern zu Verzögerungen, unnötigen erneuten Aufbereitungen, einer unzureichenden Nutzung vorhandener Geräte oder Schwierigkeiten beim Auffinden benötigter Endoskope kommen.</t>
        </is>
      </c>
      <c r="I455" t="inlineStr" s="2">
        <is>
          <t xml:space="preserve">Dieses Maß an Rückverfolgbarkeit ist bei flexiblen Endoskopen besonders wichtig. Anders als viele chirurgische Instrumente werden sie in der Regel nicht auf dieselbe Weise sterilisiert. Ihre sichere Wiederverwendung hängt daher von einer wirksamen High-Level-Desinfektion und der korrekten Handhabung während des gesamten Prozesses ab. Wenn bei der Aufbereitung oder Handhabung Fehler auftreten, ist eine vollständige Rückverfolgbarkeit von Patient, Eingriff und Endoskop entscheidend, um mögliche Infektionsrisiken zu untersuchen.</t>
        </is>
      </c>
      <c r="J455" s="4"/>
      <c r="K455" s="2"/>
      <c r="L455" t="str" s="3">
        <f>HYPERLINK("https://www.getinge.com/de/news-und-events/neuigkeiten/gesundheitswesen/warum-vollstaendige-informationen-ueber-den-lebenszyklus-von-endoskopen-wichtig-sind/","/news-und-events/neuigkeiten/gesundheitswesen/warum-vollstaendige-informationen-ueber-den-lebenszyklus-von-endoskopen-wichtig-sind/")</f>
        <v>/news-und-events/neuigkeiten/gesundheitswesen/warum-vollstaendige-informationen-ueber-den-lebenszyklus-von-endoskopen-wichtig-sind/</v>
      </c>
    </row>
    <row r="456">
      <c r="A456" s="0">
        <v>455</v>
      </c>
      <c r="B456" t="str" s="3">
        <f>HYPERLINK("https://www.getinge.com/int/insights/updates/healthcare/why-complete-endoscope-lifecycle-information-matters/","/insights/updates/healthcare/why-complete-endoscope-lifecycle-information-matters/")</f>
        <v>/insights/updates/healthcare/why-complete-endoscope-lifecycle-information-matters/</v>
      </c>
      <c r="C456" t="inlineStr" s="2">
        <is>
          <t xml:space="preserve">Bringing endoscope information together</t>
        </is>
      </c>
      <c r="D456" t="inlineStr" s="2">
        <is>
          <t xml:space="preserve">Informationen über Endoskope zusammenführen</t>
        </is>
      </c>
      <c r="E456" t="inlineStr" s="0">
        <is>
          <t xml:space="preserve">High</t>
        </is>
      </c>
      <c r="F456" s="4"/>
      <c r="G456" t="inlineStr" s="2">
        <is>
          <t xml:space="preserve">Wie die Endoskopdokumentation heute häufig verwaltet wird</t>
        </is>
      </c>
      <c r="H456" t="inlineStr" s="2">
        <is>
          <t xml:space="preserve">Wo befindet sich das Endoskop?</t>
        </is>
      </c>
      <c r="I456" t="inlineStr" s="2">
        <is>
          <t xml:space="preserve">Nähert es sich dem Ende seiner Lagerfrist?</t>
        </is>
      </c>
      <c r="J456" s="4"/>
      <c r="K456" s="2"/>
      <c r="L456" t="str" s="3">
        <f>HYPERLINK("https://www.getinge.com/de/news-und-events/neuigkeiten/gesundheitswesen/warum-vollstaendige-informationen-ueber-den-lebenszyklus-von-endoskopen-wichtig-sind/","/news-und-events/neuigkeiten/gesundheitswesen/warum-vollstaendige-informationen-ueber-den-lebenszyklus-von-endoskopen-wichtig-sind/")</f>
        <v>/news-und-events/neuigkeiten/gesundheitswesen/warum-vollstaendige-informationen-ueber-den-lebenszyklus-von-endoskopen-wichtig-sind/</v>
      </c>
    </row>
    <row r="457">
      <c r="A457" s="0">
        <v>456</v>
      </c>
      <c r="B457" t="str" s="3">
        <f>HYPERLINK("https://www.getinge.com/int/insights/updates/healthcare/why-complete-endoscope-lifecycle-information-matters/","/insights/updates/healthcare/why-complete-endoscope-lifecycle-information-matters/")</f>
        <v>/insights/updates/healthcare/why-complete-endoscope-lifecycle-information-matters/</v>
      </c>
      <c r="C457" t="inlineStr" s="2">
        <is>
          <t xml:space="preserve">The more devices, process steps, and records departments need to manage, the harder it becomes to maintain a complete overview manually. Digital endoscope management can bring relevant information and process steps together in one system and help hospitals to:</t>
        </is>
      </c>
      <c r="D457" t="inlineStr" s="2">
        <is>
          <t xml:space="preserve">Je mehr Geräte, Prozessschritte und Aufzeichnungen Abteilungen verwalten müssen, desto schwieriger wird es, manuell einen vollständigen Überblick zu behalten. Ein digitales Endoskopmanagement kann relevante Informationen und Prozessschritte in einem System zusammenführen und Krankenhäuser dabei unterstützen:</t>
        </is>
      </c>
      <c r="E457" t="inlineStr" s="0">
        <is>
          <t xml:space="preserve">Medium</t>
        </is>
      </c>
      <c r="F457" s="4"/>
      <c r="G457" t="inlineStr" s="2">
        <is>
          <t xml:space="preserve">Das Management von Endoskopen ist stark zeitabhängig. Abteilungen müssen häufig definierte Zeitintervalle einhalten – zwischen dem Einsatz am Patienten und der Aufbereitung, zwischen einzelnen Aufbereitungsschritten, bei der Trocknung und Lagerung sowie zwischen Lagerung und klinischem Einsatz.</t>
        </is>
      </c>
      <c r="H457" t="inlineStr" s="2">
        <is>
          <t xml:space="preserve">Arbeitsabläufe abteilungsübergreifend zu koordinieren: Wenn relevante Geräteinformationen an einem Ort verfügbar sind, können Teams ihre Tätigkeiten besser koordinieren, unterschiedliche Anforderungen an Endoskope berücksichtigen und erkennen, welche Geräte verfügbar, im richtigen Zustand und bei Bedarf einsatzbereit sind.</t>
        </is>
      </c>
      <c r="I457" t="inlineStr" s="2">
        <is>
          <t xml:space="preserve">Krankenhäuser verwalten häufig eine wachsende Vielfalt an Endoskoptypen mit unterschiedlicher Komplexität und unterschiedlichen Anforderungen an die Handhabung. Werden dieselben Verfahren auf alle Geräte angewendet, ohne diese Unterschiede ausreichend zu berücksichtigen, können Risiken bei der Aufbereitung und Handhabung entstehen.</t>
        </is>
      </c>
      <c r="J457" s="4"/>
      <c r="K457" s="2"/>
      <c r="L457" t="str" s="3">
        <f>HYPERLINK("https://www.getinge.com/de/news-und-events/neuigkeiten/gesundheitswesen/warum-vollstaendige-informationen-ueber-den-lebenszyklus-von-endoskopen-wichtig-sind/","/news-und-events/neuigkeiten/gesundheitswesen/warum-vollstaendige-informationen-ueber-den-lebenszyklus-von-endoskopen-wichtig-sind/")</f>
        <v>/news-und-events/neuigkeiten/gesundheitswesen/warum-vollstaendige-informationen-ueber-den-lebenszyklus-von-endoskopen-wichtig-sind/</v>
      </c>
    </row>
    <row r="458">
      <c r="A458" s="0">
        <v>457</v>
      </c>
      <c r="B458" t="str" s="3">
        <f>HYPERLINK("https://www.getinge.com/int/insights/updates/healthcare/why-complete-endoscope-lifecycle-information-matters/","/insights/updates/healthcare/why-complete-endoscope-lifecycle-information-matters/")</f>
        <v>/insights/updates/healthcare/why-complete-endoscope-lifecycle-information-matters/</v>
      </c>
      <c r="C458" t="inlineStr" s="2">
        <is>
          <t xml:space="preserve">Reconstruct the complete history of an endoscope when it matters: By connecting patient, procedure, device, staff, reprocessing, storage, and maintenance information, hospitals can access the full traceability chain more easily during audits, investigations, or quality reviews.</t>
        </is>
      </c>
      <c r="D458" t="inlineStr" s="2">
        <is>
          <t xml:space="preserve">Die vollständige Historie eines Endoskops nachzuvollziehen, wenn es darauf ankommt: Durch die Verknüpfung von Informationen zu Patienten, Eingriffen, Geräten, Mitarbeitenden, Aufbereitung, Lagerung und Wartung können Krankenhäuser bei Audits, Untersuchungen oder Qualitätsprüfungen leichter auf die vollständige Rückverfolgbarkeitskette zugreifen.</t>
        </is>
      </c>
      <c r="E458" t="inlineStr" s="0">
        <is>
          <t xml:space="preserve">Medium</t>
        </is>
      </c>
      <c r="F458" s="4"/>
      <c r="G458" t="inlineStr" s="2">
        <is>
          <t xml:space="preserve">Je mehr Geräte, Prozessschritte und Aufzeichnungen Abteilungen verwalten müssen, desto schwieriger wird es, manuell einen vollständigen Überblick zu behalten. Ein digitales Endoskopmanagement kann relevante Informationen und Prozessschritte in einem System zusammenführen und Krankenhäuser dabei unterstützen:</t>
        </is>
      </c>
      <c r="H458" t="inlineStr" s="2">
        <is>
          <t xml:space="preserve">Unterschiedliche Zuständigkeiten, Dokumentationspraktiken, Kommunikationsprozesse und Prioritäten bei Arbeitsabläufen können zu Informations- und Koordinationslücken zwischen den Abteilungen führen. Mitarbeitende müssen daher sowohl das Endoskop als auch seine Dokumentation durch die verschiedenen Phasen des Lebenszyklus verfolgen können.</t>
        </is>
      </c>
      <c r="I458" t="inlineStr" s="2">
        <is>
          <t xml:space="preserve">Krankenhäuser verwalten häufig eine wachsende Vielfalt an Endoskoptypen mit unterschiedlicher Komplexität und unterschiedlichen Anforderungen an die Handhabung. Werden dieselben Verfahren auf alle Geräte angewendet, ohne diese Unterschiede ausreichend zu berücksichtigen, können Risiken bei der Aufbereitung und Handhabung entstehen.</t>
        </is>
      </c>
      <c r="J458" s="4"/>
      <c r="K458" s="2"/>
      <c r="L458" t="str" s="3">
        <f>HYPERLINK("https://www.getinge.com/de/news-und-events/neuigkeiten/gesundheitswesen/warum-vollstaendige-informationen-ueber-den-lebenszyklus-von-endoskopen-wichtig-sind/","/news-und-events/neuigkeiten/gesundheitswesen/warum-vollstaendige-informationen-ueber-den-lebenszyklus-von-endoskopen-wichtig-sind/")</f>
        <v>/news-und-events/neuigkeiten/gesundheitswesen/warum-vollstaendige-informationen-ueber-den-lebenszyklus-von-endoskopen-wichtig-sind/</v>
      </c>
    </row>
    <row r="459">
      <c r="A459" s="0">
        <v>458</v>
      </c>
      <c r="B459" t="str" s="3">
        <f>HYPERLINK("https://www.getinge.com/int/insights/updates/healthcare/why-complete-endoscope-lifecycle-information-matters/","/insights/updates/healthcare/why-complete-endoscope-lifecycle-information-matters/")</f>
        <v>/insights/updates/healthcare/why-complete-endoscope-lifecycle-information-matters/</v>
      </c>
      <c r="C459" t="inlineStr" s="2">
        <is>
          <t xml:space="preserve">Keep time-critical processes under control: Monitoring process steps, drying status, and storage limits helps prevent overlooked requirements and avoid unnecessary reprocessing.</t>
        </is>
      </c>
      <c r="D459" s="2"/>
      <c r="F459" s="4"/>
      <c r="G459" t="inlineStr" s="2">
        <is>
          <t xml:space="preserve">Zeitkritische Prozesse unter Kontrolle zu behalten: Die Überwachung von Prozessschritten, Trocknungsstatus und Lagerfristen hilft dabei, übersehene Anforderungen zu vermeiden und unnötige erneute Aufbereitungen zu verhindern.</t>
        </is>
      </c>
      <c r="H459" t="inlineStr" s="2">
        <is>
          <t xml:space="preserve">Zu verstehen, warum Geräte nicht verfügbar sind: Die Nachverfolgung von Wartungs- und Reparaturmaßnahmen schafft mehr Transparenz über Ausfallzeiten, Durchlaufzeiten und Geräteverfügbarkeit.</t>
        </is>
      </c>
      <c r="I459" t="inlineStr" s="2">
        <is>
          <t xml:space="preserve">Mitarbeitende benötigen daher klare Anweisungen zu den spezifischen Anforderungen jedes Gerätetyps. Dies hilft sicherzustellen, dass für jedes Endoskop die korrekten Handhabungs- und Aufbereitungsverfahren eingehalten werden.</t>
        </is>
      </c>
      <c r="J459" s="4"/>
      <c r="K459" s="2"/>
      <c r="L459" t="str" s="3">
        <f>HYPERLINK("https://www.getinge.com/de/news-und-events/neuigkeiten/gesundheitswesen/warum-vollstaendige-informationen-ueber-den-lebenszyklus-von-endoskopen-wichtig-sind/","/news-und-events/neuigkeiten/gesundheitswesen/warum-vollstaendige-informationen-ueber-den-lebenszyklus-von-endoskopen-wichtig-sind/")</f>
        <v>/news-und-events/neuigkeiten/gesundheitswesen/warum-vollstaendige-informationen-ueber-den-lebenszyklus-von-endoskopen-wichtig-sind/</v>
      </c>
    </row>
    <row r="460">
      <c r="A460" s="0">
        <v>459</v>
      </c>
      <c r="B460" t="str" s="3">
        <f>HYPERLINK("https://www.getinge.com/int/insights/updates/healthcare/why-complete-endoscope-lifecycle-information-matters/","/insights/updates/healthcare/why-complete-endoscope-lifecycle-information-matters/")</f>
        <v>/insights/updates/healthcare/why-complete-endoscope-lifecycle-information-matters/</v>
      </c>
      <c r="C460" t="inlineStr" s="2">
        <is>
          <t xml:space="preserve">Know where each endoscope is – and whether it is ready to use: Clear information on location, status, and availability helps staff find suitable devices faster and make better use of the existing fleet.</t>
        </is>
      </c>
      <c r="D460" t="inlineStr" s="2">
        <is>
          <t xml:space="preserve">Zu wissen, wo sich jedes Endoskop befindet und ob es einsatzbereit ist: Klare Informationen über Standort, Status und Verfügbarkeit helfen Mitarbeitenden, geeignete Geräte schneller zu finden und den vorhandenen Gerätebestand besser zu nutzen.</t>
        </is>
      </c>
      <c r="E460" t="inlineStr" s="0">
        <is>
          <t xml:space="preserve">Low</t>
        </is>
      </c>
      <c r="F460" s="4"/>
      <c r="G460" t="inlineStr" s="2">
        <is>
          <t xml:space="preserve">Endoskope sind wertvolle Ressourcen, die häufig ständig benötigt werden. Zu jedem Zeitpunkt können sich einige Geräte im Einsatz, in der Aufbereitung, bei der Trocknung und Lagerung, vor einer Wartung oder in Reparatur befinden.</t>
        </is>
      </c>
      <c r="H460" t="inlineStr" s="2">
        <is>
          <t xml:space="preserve">Mitarbeitende benötigen daher klare Anweisungen zu den spezifischen Anforderungen jedes Gerätetyps. Dies hilft sicherzustellen, dass für jedes Endoskop die korrekten Handhabungs- und Aufbereitungsverfahren eingehalten werden.</t>
        </is>
      </c>
      <c r="I460" t="inlineStr" s="2">
        <is>
          <t xml:space="preserve">Endoskope wechseln kontinuierlich zwischen Untersuchungsräumen, Aufbereitungsbereichen, Trocknungsschränken, Lagerorten, Transportbehältern und Reparatureinrichtungen. Mitarbeitende benötigen daher schnelle Antworten auf einfache, aber entscheidende Fragen:</t>
        </is>
      </c>
      <c r="J460" s="4"/>
      <c r="K460" s="2"/>
      <c r="L460" t="str" s="3">
        <f>HYPERLINK("https://www.getinge.com/de/news-und-events/neuigkeiten/gesundheitswesen/warum-vollstaendige-informationen-ueber-den-lebenszyklus-von-endoskopen-wichtig-sind/","/news-und-events/neuigkeiten/gesundheitswesen/warum-vollstaendige-informationen-ueber-den-lebenszyklus-von-endoskopen-wichtig-sind/")</f>
        <v>/news-und-events/neuigkeiten/gesundheitswesen/warum-vollstaendige-informationen-ueber-den-lebenszyklus-von-endoskopen-wichtig-sind/</v>
      </c>
    </row>
    <row r="461">
      <c r="A461" s="0">
        <v>460</v>
      </c>
      <c r="B461" t="str" s="3">
        <f>HYPERLINK("https://www.getinge.com/int/insights/updates/healthcare/why-complete-endoscope-lifecycle-information-matters/","/insights/updates/healthcare/why-complete-endoscope-lifecycle-information-matters/")</f>
        <v>/insights/updates/healthcare/why-complete-endoscope-lifecycle-information-matters/</v>
      </c>
      <c r="C461" t="inlineStr" s="2">
        <is>
          <t xml:space="preserve">Support consistent handling across the team: Digital guidance and documentation can help staff follow required procedures more consistently, while also supporting onboarding and training.</t>
        </is>
      </c>
      <c r="D461" t="inlineStr" s="2">
        <is>
          <t xml:space="preserve">Eine einheitliche Handhabung im Team zu unterstützen: Digitale Anleitungen und Dokumentation können Mitarbeitenden helfen, vorgeschriebene Verfahren einheitlicher einzuhalten, und gleichzeitig die Einarbeitung und Schulung unterstützen.</t>
        </is>
      </c>
      <c r="E461" t="inlineStr" s="0">
        <is>
          <t xml:space="preserve">Low</t>
        </is>
      </c>
      <c r="F461" s="4"/>
      <c r="G461" t="inlineStr" s="2">
        <is>
          <t xml:space="preserve">Zeitkritische Prozesse unter Kontrolle zu behalten: Die Überwachung von Prozessschritten, Trocknungsstatus und Lagerfristen hilft dabei, übersehene Anforderungen zu vermeiden und unnötige erneute Aufbereitungen zu verhindern.</t>
        </is>
      </c>
      <c r="H461" t="inlineStr" s="2">
        <is>
          <t xml:space="preserve">Mitarbeitende benötigen daher klare Anweisungen zu den spezifischen Anforderungen jedes Gerätetyps. Dies hilft sicherzustellen, dass für jedes Endoskop die korrekten Handhabungs- und Aufbereitungsverfahren eingehalten werden.</t>
        </is>
      </c>
      <c r="I461" t="inlineStr" s="2">
        <is>
          <t xml:space="preserve">Endoskope sind wertvolle Ressourcen, die häufig ständig benötigt werden. Zu jedem Zeitpunkt können sich einige Geräte im Einsatz, in der Aufbereitung, bei der Trocknung und Lagerung, vor einer Wartung oder in Reparatur befinden.</t>
        </is>
      </c>
      <c r="J461" s="4"/>
      <c r="K461" s="2"/>
      <c r="L461" t="str" s="3">
        <f>HYPERLINK("https://www.getinge.com/de/news-und-events/neuigkeiten/gesundheitswesen/warum-vollstaendige-informationen-ueber-den-lebenszyklus-von-endoskopen-wichtig-sind/","/news-und-events/neuigkeiten/gesundheitswesen/warum-vollstaendige-informationen-ueber-den-lebenszyklus-von-endoskopen-wichtig-sind/")</f>
        <v>/news-und-events/neuigkeiten/gesundheitswesen/warum-vollstaendige-informationen-ueber-den-lebenszyklus-von-endoskopen-wichtig-sind/</v>
      </c>
    </row>
    <row r="462">
      <c r="A462" s="0">
        <v>461</v>
      </c>
      <c r="B462" t="str" s="3">
        <f>HYPERLINK("https://www.getinge.com/int/insights/updates/healthcare/why-complete-endoscope-lifecycle-information-matters/","/insights/updates/healthcare/why-complete-endoscope-lifecycle-information-matters/")</f>
        <v>/insights/updates/healthcare/why-complete-endoscope-lifecycle-information-matters/</v>
      </c>
      <c r="C462" t="inlineStr" s="2">
        <is>
          <t xml:space="preserve">Understand why devices are unavailable: Tracking maintenance and repairs provides greater transparency around downtime, turnaround times, and device availability.</t>
        </is>
      </c>
      <c r="D462" t="inlineStr" s="2">
        <is>
          <t xml:space="preserve">Zu verstehen, warum Geräte nicht verfügbar sind: Die Nachverfolgung von Wartungs- und Reparaturmaßnahmen schafft mehr Transparenz über Ausfallzeiten, Durchlaufzeiten und Geräteverfügbarkeit.</t>
        </is>
      </c>
      <c r="E462" t="inlineStr" s="0">
        <is>
          <t xml:space="preserve">Low</t>
        </is>
      </c>
      <c r="F462" s="4"/>
      <c r="G462" t="inlineStr" s="2">
        <is>
          <t xml:space="preserve">Endoskope sind wertvolle Ressourcen, die häufig ständig benötigt werden. Zu jedem Zeitpunkt können sich einige Geräte im Einsatz, in der Aufbereitung, bei der Trocknung und Lagerung, vor einer Wartung oder in Reparatur befinden.</t>
        </is>
      </c>
      <c r="H462" t="inlineStr" s="2">
        <is>
          <t xml:space="preserve">Mitarbeitende benötigen daher klare Anweisungen zu den spezifischen Anforderungen jedes Gerätetyps. Dies hilft sicherzustellen, dass für jedes Endoskop die korrekten Handhabungs- und Aufbereitungsverfahren eingehalten werden.</t>
        </is>
      </c>
      <c r="I462" t="inlineStr" s="2">
        <is>
          <t xml:space="preserve">Zeitkritische Prozesse unter Kontrolle zu behalten: Die Überwachung von Prozessschritten, Trocknungsstatus und Lagerfristen hilft dabei, übersehene Anforderungen zu vermeiden und unnötige erneute Aufbereitungen zu verhindern.</t>
        </is>
      </c>
      <c r="J462" s="4"/>
      <c r="K462" s="2"/>
      <c r="L462" t="str" s="3">
        <f>HYPERLINK("https://www.getinge.com/de/news-und-events/neuigkeiten/gesundheitswesen/warum-vollstaendige-informationen-ueber-den-lebenszyklus-von-endoskopen-wichtig-sind/","/news-und-events/neuigkeiten/gesundheitswesen/warum-vollstaendige-informationen-ueber-den-lebenszyklus-von-endoskopen-wichtig-sind/")</f>
        <v>/news-und-events/neuigkeiten/gesundheitswesen/warum-vollstaendige-informationen-ueber-den-lebenszyklus-von-endoskopen-wichtig-sind/</v>
      </c>
    </row>
    <row r="463">
      <c r="A463" s="0">
        <v>462</v>
      </c>
      <c r="B463" t="str" s="3">
        <f>HYPERLINK("https://www.getinge.com/int/insights/updates/healthcare/why-complete-endoscope-lifecycle-information-matters/","/insights/updates/healthcare/why-complete-endoscope-lifecycle-information-matters/")</f>
        <v>/insights/updates/healthcare/why-complete-endoscope-lifecycle-information-matters/</v>
      </c>
      <c r="C463" t="inlineStr" s="2">
        <is>
          <t xml:space="preserve">Coordinate workflows across departments: Having relevant device information in one place helps teams coordinate activities, account for different endoscope requirements, and see which devices are available, in the right condition, and ready when needed.</t>
        </is>
      </c>
      <c r="D463" t="inlineStr" s="2">
        <is>
          <t xml:space="preserve">Arbeitsabläufe abteilungsübergreifend zu koordinieren: Wenn relevante Geräteinformationen an einem Ort verfügbar sind, können Teams ihre Tätigkeiten besser koordinieren, unterschiedliche Anforderungen an Endoskope berücksichtigen und erkennen, welche Geräte verfügbar, im richtigen Zustand und bei Bedarf einsatzbereit sind.</t>
        </is>
      </c>
      <c r="E463" t="inlineStr" s="0">
        <is>
          <t xml:space="preserve">Low</t>
        </is>
      </c>
      <c r="F463" s="4"/>
      <c r="G463" t="inlineStr" s="2">
        <is>
          <t xml:space="preserve">Je mehr Geräte, Prozessschritte und Aufzeichnungen Abteilungen verwalten müssen, desto schwieriger wird es, manuell einen vollständigen Überblick zu behalten. Ein digitales Endoskopmanagement kann relevante Informationen und Prozessschritte in einem System zusammenführen und Krankenhäuser dabei unterstützen:</t>
        </is>
      </c>
      <c r="H463" t="inlineStr" s="2">
        <is>
          <t xml:space="preserve">Unterschiedliche Zuständigkeiten, Dokumentationspraktiken, Kommunikationsprozesse und Prioritäten bei Arbeitsabläufen können zu Informations- und Koordinationslücken zwischen den Abteilungen führen. Mitarbeitende müssen daher sowohl das Endoskop als auch seine Dokumentation durch die verschiedenen Phasen des Lebenszyklus verfolgen können.</t>
        </is>
      </c>
      <c r="I463" t="inlineStr" s="2">
        <is>
          <t xml:space="preserve">Das Management von Endoskopen ist stark zeitabhängig. Abteilungen müssen häufig definierte Zeitintervalle einhalten – zwischen dem Einsatz am Patienten und der Aufbereitung, zwischen einzelnen Aufbereitungsschritten, bei der Trocknung und Lagerung sowie zwischen Lagerung und klinischem Einsatz.</t>
        </is>
      </c>
      <c r="J463" s="4"/>
      <c r="K463" s="2"/>
      <c r="L463" t="str" s="3">
        <f>HYPERLINK("https://www.getinge.com/de/news-und-events/neuigkeiten/gesundheitswesen/warum-vollstaendige-informationen-ueber-den-lebenszyklus-von-endoskopen-wichtig-sind/","/news-und-events/neuigkeiten/gesundheitswesen/warum-vollstaendige-informationen-ueber-den-lebenszyklus-von-endoskopen-wichtig-sind/")</f>
        <v>/news-und-events/neuigkeiten/gesundheitswesen/warum-vollstaendige-informationen-ueber-den-lebenszyklus-von-endoskopen-wichtig-sind/</v>
      </c>
    </row>
    <row r="464">
      <c r="A464" s="0">
        <v>463</v>
      </c>
      <c r="B464" t="str" s="3">
        <f>HYPERLINK("https://www.getinge.com/int/insights/updates/healthcare/why-managing-patient-flow-matters/","/insights/updates/healthcare/why-managing-patient-flow-matters/")</f>
        <v>/insights/updates/healthcare/why-managing-patient-flow-matters/</v>
      </c>
      <c r="C464" t="inlineStr" s="2">
        <is>
          <t xml:space="preserve">Many hospitals still lack the structures needed to manage patient flow effectively – that’s the conclusion of authors reflecting on the COVID-19 pandemic in an article published in Deutsches Ärzteblatt [1]. The consequences? Health risks for patients, mental strain on staff, and financial losses. But what’s behind this?</t>
        </is>
      </c>
      <c r="D464" t="inlineStr" s="2">
        <is>
          <t xml:space="preserve">Viele Krankenhäuser verfügen noch immer nicht über die nötigen Strukturen, um den Patientenfluss effektiv zu steuern – zu diesem Schluss kommen Autor:innen in einem Artikel im Deutschen Ärzteblatt [1], der auf Erfahrungen aus der COVID-19-Pandemie zurückblickt. Die Folgen? Gesundheitsrisiken für Patient:innen, psychische Belastung des Personals und finanzielle Verluste. Doch woran liegt das?</t>
        </is>
      </c>
      <c r="E464" t="inlineStr" s="0">
        <is>
          <t xml:space="preserve">High</t>
        </is>
      </c>
      <c r="F464" s="4"/>
      <c r="G464" t="inlineStr" s="2">
        <is>
          <t xml:space="preserve">Der Begriff „Patientenfluss“ beschreibt den Weg eines Patienten von der Aufnahme bis zur Entlassung. Wie das Institute for Healthcare Improvement betont, ist es entscheidend, „die richtige Versorgung, am richtigen Ort, zur richtigen Zeit“ sicherzustellen – um suboptimale Behandlungsergebnisse, Überlastung des Personals und wirtschaftliche Verluste zu vermeiden [2].</t>
        </is>
      </c>
      <c r="H464" t="inlineStr" s="2">
        <is>
          <t xml:space="preserve">Fazit In einem Krankenhausumfeld, in dem sich Situationen jederzeit ändern können, ist Echtzeittransparenz unerlässlich. Lösungen für das Patientenflussmanagement schaffen diese operative Sichtbarkeit – und sorgen dafür, dass Teams, Ressourcen und Versorgungsprozesse auf das abgestimmt sind, was jetzt passiert, nicht auf das, was vor Minuten geschah.</t>
        </is>
      </c>
      <c r="I464" t="inlineStr" s="2">
        <is>
          <t xml:space="preserve">Ursachen für Defizite im Patientenflussmanagement Ein wesentlicher Grund liegt in ineffizienter Kommunikation und Zusammenarbeit innerhalb der Teams – häufig verstärkt durch veraltete Informationssysteme. In einer Umfrage der medizinischen Plattform sermo [3] gaben Ärzt:innen und Pflegekräfte an, dass sie besonders die „verzögerte Weitergabe von Patient:inneninformationen“ (57 %) sowie „veraltete Technologie und technische Probleme“ (25 %) frustrieren.</t>
        </is>
      </c>
      <c r="J464" s="4"/>
      <c r="K464" s="2"/>
      <c r="L464" t="str" s="3">
        <f>HYPERLINK("https://www.getinge.com/de/news-und-events/neuigkeiten/gesundheitswesen/warum-das-management-des-patientenflusses-von-bedeutung-ist/","/news-und-events/neuigkeiten/gesundheitswesen/warum-das-management-des-patientenflusses-von-bedeutung-ist/")</f>
        <v>/news-und-events/neuigkeiten/gesundheitswesen/warum-das-management-des-patientenflusses-von-bedeutung-ist/</v>
      </c>
    </row>
    <row r="465">
      <c r="A465" s="0">
        <v>464</v>
      </c>
      <c r="B465" t="str" s="3">
        <f>HYPERLINK("https://www.getinge.com/int/insights/updates/healthcare/why-managing-patient-flow-matters/","/insights/updates/healthcare/why-managing-patient-flow-matters/")</f>
        <v>/insights/updates/healthcare/why-managing-patient-flow-matters/</v>
      </c>
      <c r="C465" t="inlineStr" s="2">
        <is>
          <t xml:space="preserve">Patient flow refers to the journey a patient takes from hospital admission through to discharge. As Institute for Healthcare Improvement emphasizes, ensuring the right care, in the right place, at the right time is essential to avoid suboptimal patient outcomes, staff strain, and financial loss [2].</t>
        </is>
      </c>
      <c r="D465" t="inlineStr" s="2">
        <is>
          <t xml:space="preserve">Der Begriff „Patientenfluss“ beschreibt den Weg eines Patienten von der Aufnahme bis zur Entlassung. Wie das Institute for Healthcare Improvement betont, ist es entscheidend, „die richtige Versorgung, am richtigen Ort, zur richtigen Zeit“ sicherzustellen – um suboptimale Behandlungsergebnisse, Überlastung des Personals und wirtschaftliche Verluste zu vermeiden [2].</t>
        </is>
      </c>
      <c r="E465" t="inlineStr" s="0">
        <is>
          <t xml:space="preserve">Medium</t>
        </is>
      </c>
      <c r="F465" s="4"/>
      <c r="G465" t="inlineStr" s="2">
        <is>
          <t xml:space="preserve">Fazit In einem Krankenhausumfeld, in dem sich Situationen jederzeit ändern können, ist Echtzeittransparenz unerlässlich. Lösungen für das Patientenflussmanagement schaffen diese operative Sichtbarkeit – und sorgen dafür, dass Teams, Ressourcen und Versorgungsprozesse auf das abgestimmt sind, was jetzt passiert, nicht auf das, was vor Minuten geschah.</t>
        </is>
      </c>
      <c r="H465" t="inlineStr" s="2">
        <is>
          <t xml:space="preserve">Viele Krankenhäuser verfügen noch immer nicht über die nötigen Strukturen, um den Patientenfluss effektiv zu steuern – zu diesem Schluss kommen Autor:innen in einem Artikel im Deutschen Ärzteblatt [1], der auf Erfahrungen aus der COVID-19-Pandemie zurückblickt. Die Folgen? Gesundheitsrisiken für Patient:innen, psychische Belastung des Personals und finanzielle Verluste. Doch woran liegt das?</t>
        </is>
      </c>
      <c r="I465" t="inlineStr" s="2">
        <is>
          <t xml:space="preserve">Ursachen für Defizite im Patientenflussmanagement Ein wesentlicher Grund liegt in ineffizienter Kommunikation und Zusammenarbeit innerhalb der Teams – häufig verstärkt durch veraltete Informationssysteme. In einer Umfrage der medizinischen Plattform sermo [3] gaben Ärzt:innen und Pflegekräfte an, dass sie besonders die „verzögerte Weitergabe von Patient:inneninformationen“ (57 %) sowie „veraltete Technologie und technische Probleme“ (25 %) frustrieren.</t>
        </is>
      </c>
      <c r="J465" s="4"/>
      <c r="K465" s="2"/>
      <c r="L465" t="str" s="3">
        <f>HYPERLINK("https://www.getinge.com/de/news-und-events/neuigkeiten/gesundheitswesen/warum-das-management-des-patientenflusses-von-bedeutung-ist/","/news-und-events/neuigkeiten/gesundheitswesen/warum-das-management-des-patientenflusses-von-bedeutung-ist/")</f>
        <v>/news-und-events/neuigkeiten/gesundheitswesen/warum-das-management-des-patientenflusses-von-bedeutung-ist/</v>
      </c>
    </row>
    <row r="466">
      <c r="A466" s="0">
        <v>465</v>
      </c>
      <c r="B466" t="str" s="3">
        <f>HYPERLINK("https://www.getinge.com/int/insights/updates/healthcare/why-managing-patient-flow-matters/","/insights/updates/healthcare/why-managing-patient-flow-matters/")</f>
        <v>/insights/updates/healthcare/why-managing-patient-flow-matters/</v>
      </c>
      <c r="C466" t="inlineStr" s="2">
        <is>
          <t xml:space="preserve">What causes deficits in patient flow management?</t>
        </is>
      </c>
      <c r="D466" s="2"/>
      <c r="F466" s="4"/>
      <c r="G466" t="inlineStr" s="2">
        <is>
          <t xml:space="preserve">Optimierte abteilungsübergreifende Kommunikation</t>
        </is>
      </c>
      <c r="H466" t="inlineStr" s="2">
        <is>
          <t xml:space="preserve">Reduzierung von Wartezeiten und Verzögerungen in Diagnostik und Therapie</t>
        </is>
      </c>
      <c r="I466" t="inlineStr" s="2">
        <is>
          <t xml:space="preserve">Vereinfachung der Aufnahmeprozesse</t>
        </is>
      </c>
      <c r="J466" s="4"/>
      <c r="K466" s="2"/>
      <c r="L466" t="str" s="3">
        <f>HYPERLINK("https://www.getinge.com/de/news-und-events/neuigkeiten/gesundheitswesen/warum-das-management-des-patientenflusses-von-bedeutung-ist/","/news-und-events/neuigkeiten/gesundheitswesen/warum-das-management-des-patientenflusses-von-bedeutung-ist/")</f>
        <v>/news-und-events/neuigkeiten/gesundheitswesen/warum-das-management-des-patientenflusses-von-bedeutung-ist/</v>
      </c>
    </row>
    <row r="467">
      <c r="A467" s="0">
        <v>466</v>
      </c>
      <c r="B467" t="str" s="3">
        <f>HYPERLINK("https://www.getinge.com/int/insights/updates/healthcare/why-managing-patient-flow-matters/","/insights/updates/healthcare/why-managing-patient-flow-matters/")</f>
        <v>/insights/updates/healthcare/why-managing-patient-flow-matters/</v>
      </c>
      <c r="C467" t="inlineStr" s="2">
        <is>
          <t xml:space="preserve">One of the main reasons lies in inefficient communication and collaboration within teams — often amplified by outdated information systems. In a survey conducted by the medical community platform sermo [3], healthcare professionals were asked what frustrates them most about communication with colleagues. The top responses were “delayed information about patients” (57%) and “outdated technology and technical issues” (25%).</t>
        </is>
      </c>
      <c r="D467" t="inlineStr" s="2">
        <is>
          <t xml:space="preserve">Ursachen für Defizite im Patientenflussmanagement Ein wesentlicher Grund liegt in ineffizienter Kommunikation und Zusammenarbeit innerhalb der Teams – häufig verstärkt durch veraltete Informationssysteme. In einer Umfrage der medizinischen Plattform sermo [3] gaben Ärzt:innen und Pflegekräfte an, dass sie besonders die „verzögerte Weitergabe von Patient:inneninformationen“ (57 %) sowie „veraltete Technologie und technische Probleme“ (25 %) frustrieren.</t>
        </is>
      </c>
      <c r="E467" t="inlineStr" s="0">
        <is>
          <t xml:space="preserve">High</t>
        </is>
      </c>
      <c r="F467" s="4"/>
      <c r="G467" t="inlineStr" s="2">
        <is>
          <t xml:space="preserve">Viele Krankenhäuser verfügen noch immer nicht über die nötigen Strukturen, um den Patientenfluss effektiv zu steuern – zu diesem Schluss kommen Autor:innen in einem Artikel im Deutschen Ärzteblatt [1], der auf Erfahrungen aus der COVID-19-Pandemie zurückblickt. Die Folgen? Gesundheitsrisiken für Patient:innen, psychische Belastung des Personals und finanzielle Verluste. Doch woran liegt das?</t>
        </is>
      </c>
      <c r="H467" t="inlineStr" s="2">
        <is>
          <t xml:space="preserve">Der Begriff „Patientenfluss“ beschreibt den Weg eines Patienten von der Aufnahme bis zur Entlassung. Wie das Institute for Healthcare Improvement betont, ist es entscheidend, „die richtige Versorgung, am richtigen Ort, zur richtigen Zeit“ sicherzustellen – um suboptimale Behandlungsergebnisse, Überlastung des Personals und wirtschaftliche Verluste zu vermeiden [2].</t>
        </is>
      </c>
      <c r="I467" t="inlineStr" s="2">
        <is>
          <t xml:space="preserve">Fazit In einem Krankenhausumfeld, in dem sich Situationen jederzeit ändern können, ist Echtzeittransparenz unerlässlich. Lösungen für das Patientenflussmanagement schaffen diese operative Sichtbarkeit – und sorgen dafür, dass Teams, Ressourcen und Versorgungsprozesse auf das abgestimmt sind, was jetzt passiert, nicht auf das, was vor Minuten geschah.</t>
        </is>
      </c>
      <c r="J467" s="4"/>
      <c r="K467" s="2"/>
      <c r="L467" t="str" s="3">
        <f>HYPERLINK("https://www.getinge.com/de/news-und-events/neuigkeiten/gesundheitswesen/warum-das-management-des-patientenflusses-von-bedeutung-ist/","/news-und-events/neuigkeiten/gesundheitswesen/warum-das-management-des-patientenflusses-von-bedeutung-ist/")</f>
        <v>/news-und-events/neuigkeiten/gesundheitswesen/warum-das-management-des-patientenflusses-von-bedeutung-ist/</v>
      </c>
    </row>
    <row r="468">
      <c r="A468" s="0">
        <v>467</v>
      </c>
      <c r="B468" t="str" s="3">
        <f>HYPERLINK("https://www.getinge.com/int/insights/updates/healthcare/why-managing-patient-flow-matters/","/insights/updates/healthcare/why-managing-patient-flow-matters/")</f>
        <v>/insights/updates/healthcare/why-managing-patient-flow-matters/</v>
      </c>
      <c r="C468" t="inlineStr" s="2">
        <is>
          <t xml:space="preserve">This reflects a daily reality in many hospitals: delays arise when teams wait for information or updates to be documented before acting – valuable time that is lost from a patient flow perspective and cannot be recovered without real-time visibility. While EMRs play a vital role in documenting care, they capture events after they occur. From a patient flow perspective, however, staff need real-time visibility and coordination tools that enable immediate action — not just retrospective reporting.</t>
        </is>
      </c>
      <c r="D468" t="inlineStr" s="2">
        <is>
          <t xml:space="preserve">Diese Situation spiegelt den Klinikalltag vieler Häuser wider: Verzögerungen entstehen, wenn Teams auf Informationen warten oder Dokumentationen erst abgeschlossen sein müssen, bevor gehandelt werden kann. Aus Sicht des Patientenflusses geht dadurch wertvolle Zeit verloren – Zeit, die ohne Echtzeittransparenz nicht wieder aufgeholt werden kann. Während elektronische Patientenakten (EPA) eine wichtige Rolle bei der Dokumentation spielen, erfassen sie Ereignisse erst nach deren Eintreten. Für ein effektives Patientenflussmanagement benötigen Teams jedoch Echtzeit-Einblicke und Koordinationstools, die unmittelbares Handeln ermöglichen – nicht nur rückblickende Berichte.</t>
        </is>
      </c>
      <c r="E468" t="inlineStr" s="0">
        <is>
          <t xml:space="preserve">Low</t>
        </is>
      </c>
      <c r="F468" s="4"/>
      <c r="G468" t="inlineStr" s="2">
        <is>
          <t xml:space="preserve">Ursachen für Defizite im Patientenflussmanagement Ein wesentlicher Grund liegt in ineffizienter Kommunikation und Zusammenarbeit innerhalb der Teams – häufig verstärkt durch veraltete Informationssysteme. In einer Umfrage der medizinischen Plattform sermo [3] gaben Ärzt:innen und Pflegekräfte an, dass sie besonders die „verzögerte Weitergabe von Patient:inneninformationen“ (57 %) sowie „veraltete Technologie und technische Probleme“ (25 %) frustrieren.</t>
        </is>
      </c>
      <c r="H468" t="inlineStr" s="2">
        <is>
          <t xml:space="preserve">Wenn Teamarbeit und Informationsfluss nicht reibungslos funktionieren, hat das schwerwiegende Folgen: Behandlungen verzögern sich, Liegezeiten verlängern sich, und das Risiko nosokomialer Komplikationen steigt [4]. Auch das Personal leidet: Wiederholte, häufig laute (telefonische) Abstimmungen aufgrund unklarer oder inkonsistenter Informationen, Nachfragen oder Doppelprüfungen führen zu Stress und können langfristig zum Burnout beitragen [2]. Fehlzeiten infolge von Krankheit erhöhen den finanziellen Druck auf die Klinik und gefährden letztlich die Versorgungsqualität. Wie Hiller et al. betonen, wird der Bedarf an strukturiertem Patientenflussmanagement und proaktiver Kapazitätsplanung in Krankenhäusern immer deutlicher [1].</t>
        </is>
      </c>
      <c r="I468" t="inlineStr" s="2">
        <is>
          <t xml:space="preserve">Fazit In einem Krankenhausumfeld, in dem sich Situationen jederzeit ändern können, ist Echtzeittransparenz unerlässlich. Lösungen für das Patientenflussmanagement schaffen diese operative Sichtbarkeit – und sorgen dafür, dass Teams, Ressourcen und Versorgungsprozesse auf das abgestimmt sind, was jetzt passiert, nicht auf das, was vor Minuten geschah.</t>
        </is>
      </c>
      <c r="J468" s="4"/>
      <c r="K468" s="2"/>
      <c r="L468" t="str" s="3">
        <f>HYPERLINK("https://www.getinge.com/de/news-und-events/neuigkeiten/gesundheitswesen/warum-das-management-des-patientenflusses-von-bedeutung-ist/","/news-und-events/neuigkeiten/gesundheitswesen/warum-das-management-des-patientenflusses-von-bedeutung-ist/")</f>
        <v>/news-und-events/neuigkeiten/gesundheitswesen/warum-das-management-des-patientenflusses-von-bedeutung-ist/</v>
      </c>
    </row>
    <row r="469">
      <c r="A469" s="0">
        <v>468</v>
      </c>
      <c r="B469" t="str" s="3">
        <f>HYPERLINK("https://www.getinge.com/int/insights/updates/healthcare/why-managing-patient-flow-matters/","/insights/updates/healthcare/why-managing-patient-flow-matters/")</f>
        <v>/insights/updates/healthcare/why-managing-patient-flow-matters/</v>
      </c>
      <c r="C469" t="inlineStr" s="2">
        <is>
          <t xml:space="preserve">Key strategies for improving patient flow include:</t>
        </is>
      </c>
      <c r="D469" s="2"/>
      <c r="F469" s="4"/>
      <c r="G469" t="inlineStr" s="2">
        <is>
          <t xml:space="preserve">Optimierte abteilungsübergreifende Kommunikation</t>
        </is>
      </c>
      <c r="H469" t="inlineStr" s="2">
        <is>
          <t xml:space="preserve">Reduzierung von Wartezeiten und Verzögerungen in Diagnostik und Therapie</t>
        </is>
      </c>
      <c r="I469" t="inlineStr" s="2">
        <is>
          <t xml:space="preserve">Strategien zur Verbesserung des Patientenflusses Um diese Herausforderungen zu bewältigen, können Krankenhäuser einen strukturierten Ansatz verfolgen. Zu den wichtigsten Strategien zählen:</t>
        </is>
      </c>
      <c r="J469" s="4"/>
      <c r="K469" s="2"/>
      <c r="L469" t="str" s="3">
        <f>HYPERLINK("https://www.getinge.com/de/news-und-events/neuigkeiten/gesundheitswesen/warum-das-management-des-patientenflusses-von-bedeutung-ist/","/news-und-events/neuigkeiten/gesundheitswesen/warum-das-management-des-patientenflusses-von-bedeutung-ist/")</f>
        <v>/news-und-events/neuigkeiten/gesundheitswesen/warum-das-management-des-patientenflusses-von-bedeutung-ist/</v>
      </c>
    </row>
    <row r="470">
      <c r="A470" s="0">
        <v>469</v>
      </c>
      <c r="B470" t="str" s="3">
        <f>HYPERLINK("https://www.getinge.com/int/insights/updates/healthcare/why-managing-patient-flow-matters/","/insights/updates/healthcare/why-managing-patient-flow-matters/")</f>
        <v>/insights/updates/healthcare/why-managing-patient-flow-matters/</v>
      </c>
      <c r="C470" t="inlineStr" s="2">
        <is>
          <t xml:space="preserve">Hospitals can address these challenges by taking a structured approach to patient flow. Key strategies include:</t>
        </is>
      </c>
      <c r="D470" s="2"/>
      <c r="F470" s="4"/>
      <c r="G470" t="inlineStr" s="2">
        <is>
          <t xml:space="preserve">Strategien zur Verbesserung des Patientenflusses Um diese Herausforderungen zu bewältigen, können Krankenhäuser einen strukturierten Ansatz verfolgen. Zu den wichtigsten Strategien zählen:</t>
        </is>
      </c>
      <c r="H470" t="inlineStr" s="2">
        <is>
          <t xml:space="preserve">Reduzierung von Wartezeiten und Verzögerungen in Diagnostik und Therapie</t>
        </is>
      </c>
      <c r="I470" s="2"/>
      <c r="J470" s="4"/>
      <c r="K470" s="2"/>
      <c r="L470" t="str" s="3">
        <f>HYPERLINK("https://www.getinge.com/de/news-und-events/neuigkeiten/gesundheitswesen/warum-das-management-des-patientenflusses-von-bedeutung-ist/","/news-und-events/neuigkeiten/gesundheitswesen/warum-das-management-des-patientenflusses-von-bedeutung-ist/")</f>
        <v>/news-und-events/neuigkeiten/gesundheitswesen/warum-das-management-des-patientenflusses-von-bedeutung-ist/</v>
      </c>
    </row>
    <row r="471">
      <c r="A471" s="0">
        <v>470</v>
      </c>
      <c r="B471" t="str" s="3">
        <f>HYPERLINK("https://www.getinge.com/int/insights/updates/healthcare/why-managing-patient-flow-matters/","/insights/updates/healthcare/why-managing-patient-flow-matters/")</f>
        <v>/insights/updates/healthcare/why-managing-patient-flow-matters/</v>
      </c>
      <c r="C471" t="inlineStr" s="2">
        <is>
          <t xml:space="preserve">Simplifying patient admission processes</t>
        </is>
      </c>
      <c r="D471" s="2"/>
      <c r="F471" s="4"/>
      <c r="G471" t="inlineStr" s="2">
        <is>
          <t xml:space="preserve">Optimierte abteilungsübergreifende Kommunikation</t>
        </is>
      </c>
      <c r="H471" t="inlineStr" s="2">
        <is>
          <t xml:space="preserve">Vereinfachung der Aufnahmeprozesse</t>
        </is>
      </c>
      <c r="I471" t="inlineStr" s="2">
        <is>
          <t xml:space="preserve">Verbesserte Entlassungsplanung</t>
        </is>
      </c>
      <c r="J471" s="4"/>
      <c r="K471" s="2"/>
      <c r="L471" t="str" s="3">
        <f>HYPERLINK("https://www.getinge.com/de/news-und-events/neuigkeiten/gesundheitswesen/warum-das-management-des-patientenflusses-von-bedeutung-ist/","/news-und-events/neuigkeiten/gesundheitswesen/warum-das-management-des-patientenflusses-von-bedeutung-ist/")</f>
        <v>/news-und-events/neuigkeiten/gesundheitswesen/warum-das-management-des-patientenflusses-von-bedeutung-ist/</v>
      </c>
    </row>
    <row r="472">
      <c r="A472" s="0">
        <v>471</v>
      </c>
      <c r="B472" t="str" s="3">
        <f>HYPERLINK("https://www.getinge.com/int/insights/updates/healthcare/why-managing-patient-flow-matters/","/insights/updates/healthcare/why-managing-patient-flow-matters/")</f>
        <v>/insights/updates/healthcare/why-managing-patient-flow-matters/</v>
      </c>
      <c r="C472" t="inlineStr" s="2">
        <is>
          <t xml:space="preserve">Using effective bed management techniques</t>
        </is>
      </c>
      <c r="D472" s="2"/>
      <c r="F472" s="4"/>
      <c r="G472" t="inlineStr" s="2">
        <is>
          <t xml:space="preserve">Optimierte abteilungsübergreifende Kommunikation</t>
        </is>
      </c>
      <c r="H472" t="inlineStr" s="2">
        <is>
          <t xml:space="preserve">Vereinfachung der Aufnahmeprozesse</t>
        </is>
      </c>
      <c r="I472" t="inlineStr" s="2">
        <is>
          <t xml:space="preserve">Effizientes Bettenmanagement</t>
        </is>
      </c>
      <c r="J472" s="4"/>
      <c r="K472" s="2"/>
      <c r="L472" t="str" s="3">
        <f>HYPERLINK("https://www.getinge.com/de/news-und-events/neuigkeiten/gesundheitswesen/warum-das-management-des-patientenflusses-von-bedeutung-ist/","/news-und-events/neuigkeiten/gesundheitswesen/warum-das-management-des-patientenflusses-von-bedeutung-ist/")</f>
        <v>/news-und-events/neuigkeiten/gesundheitswesen/warum-das-management-des-patientenflusses-von-bedeutung-ist/</v>
      </c>
    </row>
    <row r="473">
      <c r="A473" s="0">
        <v>472</v>
      </c>
      <c r="B473" t="str" s="3">
        <f>HYPERLINK("https://www.getinge.com/int/insights/updates/healthcare/why-managing-patient-flow-matters/","/insights/updates/healthcare/why-managing-patient-flow-matters/")</f>
        <v>/insights/updates/healthcare/why-managing-patient-flow-matters/</v>
      </c>
      <c r="C473" t="inlineStr" s="2">
        <is>
          <t xml:space="preserve">Optimizing interdepartmental coordination and communication</t>
        </is>
      </c>
      <c r="D473" t="inlineStr" s="2">
        <is>
          <t xml:space="preserve">Optimierte abteilungsübergreifende Kommunikation</t>
        </is>
      </c>
      <c r="E473" t="inlineStr" s="0">
        <is>
          <t xml:space="preserve">Medium</t>
        </is>
      </c>
      <c r="F473" s="4"/>
      <c r="G473" t="inlineStr" s="2">
        <is>
          <t xml:space="preserve">Reduzierung von Wartezeiten und Verzögerungen in Diagnostik und Therapie</t>
        </is>
      </c>
      <c r="H473" s="2"/>
      <c r="I473" s="2"/>
      <c r="J473" s="4"/>
      <c r="K473" s="2"/>
      <c r="L473" t="str" s="3">
        <f>HYPERLINK("https://www.getinge.com/de/news-und-events/neuigkeiten/gesundheitswesen/warum-das-management-des-patientenflusses-von-bedeutung-ist/","/news-und-events/neuigkeiten/gesundheitswesen/warum-das-management-des-patientenflusses-von-bedeutung-ist/")</f>
        <v>/news-und-events/neuigkeiten/gesundheitswesen/warum-das-management-des-patientenflusses-von-bedeutung-ist/</v>
      </c>
    </row>
    <row r="474">
      <c r="A474" s="0">
        <v>473</v>
      </c>
      <c r="B474" t="str" s="3">
        <f>HYPERLINK("https://www.getinge.com/int/insights/updates/healthcare/why-managing-patient-flow-matters/","/insights/updates/healthcare/why-managing-patient-flow-matters/")</f>
        <v>/insights/updates/healthcare/why-managing-patient-flow-matters/</v>
      </c>
      <c r="C474" t="inlineStr" s="2">
        <is>
          <t xml:space="preserve">Reducing waiting times and delays in diagnostics and procedures</t>
        </is>
      </c>
      <c r="D474" t="inlineStr" s="2">
        <is>
          <t xml:space="preserve">Reduzierung von Wartezeiten und Verzögerungen in Diagnostik und Therapie</t>
        </is>
      </c>
      <c r="E474" t="inlineStr" s="0">
        <is>
          <t xml:space="preserve">Medium</t>
        </is>
      </c>
      <c r="F474" s="4"/>
      <c r="G474" t="inlineStr" s="2">
        <is>
          <t xml:space="preserve">Optimierte abteilungsübergreifende Kommunikation</t>
        </is>
      </c>
      <c r="H474" s="2"/>
      <c r="I474" s="2"/>
      <c r="J474" s="4"/>
      <c r="K474" s="2"/>
      <c r="L474" t="str" s="3">
        <f>HYPERLINK("https://www.getinge.com/de/news-und-events/neuigkeiten/gesundheitswesen/warum-das-management-des-patientenflusses-von-bedeutung-ist/","/news-und-events/neuigkeiten/gesundheitswesen/warum-das-management-des-patientenflusses-von-bedeutung-ist/")</f>
        <v>/news-und-events/neuigkeiten/gesundheitswesen/warum-das-management-des-patientenflusses-von-bedeutung-ist/</v>
      </c>
    </row>
    <row r="475">
      <c r="A475" s="0">
        <v>474</v>
      </c>
      <c r="B475" t="str" s="3">
        <f>HYPERLINK("https://www.getinge.com/int/insights/updates/healthcare/why-managing-patient-flow-matters/","/insights/updates/healthcare/why-managing-patient-flow-matters/")</f>
        <v>/insights/updates/healthcare/why-managing-patient-flow-matters/</v>
      </c>
      <c r="C475" t="inlineStr" s="2">
        <is>
          <t xml:space="preserve">In a hospital environment where conditions can change in moments, real-time visibility is essential. Patient flow management solutions can help provide this operational awareness — ensuring that teams, resources, and care pathways are aligned to what’s happening now, not what happened minutes ago.</t>
        </is>
      </c>
      <c r="D475" t="inlineStr" s="2">
        <is>
          <t xml:space="preserve">Fazit In einem Krankenhausumfeld, in dem sich Situationen jederzeit ändern können, ist Echtzeittransparenz unerlässlich. Lösungen für das Patientenflussmanagement schaffen diese operative Sichtbarkeit – und sorgen dafür, dass Teams, Ressourcen und Versorgungsprozesse auf das abgestimmt sind, was jetzt passiert, nicht auf das, was vor Minuten geschah.</t>
        </is>
      </c>
      <c r="E475" t="inlineStr" s="0">
        <is>
          <t xml:space="preserve">Medium</t>
        </is>
      </c>
      <c r="F475" s="4"/>
      <c r="G475" t="inlineStr" s="2">
        <is>
          <t xml:space="preserve">Der Begriff „Patientenfluss“ beschreibt den Weg eines Patienten von der Aufnahme bis zur Entlassung. Wie das Institute for Healthcare Improvement betont, ist es entscheidend, „die richtige Versorgung, am richtigen Ort, zur richtigen Zeit“ sicherzustellen – um suboptimale Behandlungsergebnisse, Überlastung des Personals und wirtschaftliche Verluste zu vermeiden [2].</t>
        </is>
      </c>
      <c r="H475" t="inlineStr" s="2">
        <is>
          <t xml:space="preserve">Viele Krankenhäuser verfügen noch immer nicht über die nötigen Strukturen, um den Patientenfluss effektiv zu steuern – zu diesem Schluss kommen Autor:innen in einem Artikel im Deutschen Ärzteblatt [1], der auf Erfahrungen aus der COVID-19-Pandemie zurückblickt. Die Folgen? Gesundheitsrisiken für Patient:innen, psychische Belastung des Personals und finanzielle Verluste. Doch woran liegt das?</t>
        </is>
      </c>
      <c r="I475" t="inlineStr" s="2">
        <is>
          <t xml:space="preserve">Ursachen für Defizite im Patientenflussmanagement Ein wesentlicher Grund liegt in ineffizienter Kommunikation und Zusammenarbeit innerhalb der Teams – häufig verstärkt durch veraltete Informationssysteme. In einer Umfrage der medizinischen Plattform sermo [3] gaben Ärzt:innen und Pflegekräfte an, dass sie besonders die „verzögerte Weitergabe von Patient:inneninformationen“ (57 %) sowie „veraltete Technologie und technische Probleme“ (25 %) frustrieren.</t>
        </is>
      </c>
      <c r="J475" s="4"/>
      <c r="K475" s="2"/>
      <c r="L475" t="str" s="3">
        <f>HYPERLINK("https://www.getinge.com/de/news-und-events/neuigkeiten/gesundheitswesen/warum-das-management-des-patientenflusses-von-bedeutung-ist/","/news-und-events/neuigkeiten/gesundheitswesen/warum-das-management-des-patientenflusses-von-bedeutung-ist/")</f>
        <v>/news-und-events/neuigkeiten/gesundheitswesen/warum-das-management-des-patientenflusses-von-bedeutung-ist/</v>
      </c>
    </row>
    <row r="476">
      <c r="A476" s="0">
        <v>475</v>
      </c>
      <c r="B476" t="str" s="3">
        <f>HYPERLINK("https://www.getinge.com/int/legal-information/getinge-privacy-center/your-rights/withdraw-your-consent/","/legal-information/getinge-privacy-center/your-rights/withdraw-your-consent/")</f>
        <v>/legal-information/getinge-privacy-center/your-rights/withdraw-your-consent/</v>
      </c>
      <c r="C476" t="inlineStr" s="2">
        <is>
          <t xml:space="preserve">Such withdrawal can sometimes be made directly in the system or application, for example in your candidate profile in the Getinge Career Portal, any given consent can be changed or withdrawn. If you have received any marketing information from us based on your consent, withdrawal can be made through clicking the unsubscribe link in the e-mail. If no such option exists, please fill in the Data Subject Request Form.</t>
        </is>
      </c>
      <c r="D476" s="2"/>
      <c r="F476" s="4"/>
      <c r="G476" t="inlineStr" s="2">
        <is>
          <t xml:space="preserve">Sie können eine erteilte Einwilligung jederzeit ganz oder teilweise widerrufen, wobei der Widerruf ab dem Zeitpunkt des Widerrufs wirksam wird. Dies bedeutet, dass die Verwendung Ihrer personenbezogenen Daten, die vor dem Widerruf auf Ihrer Einwilligung beruhte, davon unberührt bleibt. Ein solcher Widerruf kann manchmal direkt im System oder in der Anwendung vorgenommen werden, beispielsweise in Ihrem Bewerberprofil im Getinge Karriereportal, wo jede erteilte Einwilligung geändert oder widerrufen werden kann. Wenn Sie auf Grundlage Ihrer Einwilligung Marketinginformationen von uns erhalten haben, können Sie diese abbestellen, indem Sie auf den Abmeldelink in der E-Mail klicken. Wenn diese Option nicht vorhanden ist, füllen Sie bitte das Formular für Auskunftsersuchen betroffener Personen aus.</t>
        </is>
      </c>
      <c r="H476" s="2"/>
      <c r="I476" s="2"/>
      <c r="J476" s="4"/>
      <c r="K476" s="2"/>
      <c r="L476" t="str" s="3">
        <f>HYPERLINK("https://www.getinge.com/de/rechtlicher-hinweis/getinge-datenschutzbereich/ihre-rechte/recht-auf-widerruf-ihrer-einwilligung/","/rechtlicher-hinweis/getinge-datenschutzbereich/ihre-rechte/recht-auf-widerruf-ihrer-einwilligung/")</f>
        <v>/rechtlicher-hinweis/getinge-datenschutzbereich/ihre-rechte/recht-auf-widerruf-ihrer-einwilligung/</v>
      </c>
    </row>
    <row r="477">
      <c r="A477" s="0">
        <v>476</v>
      </c>
      <c r="B477" t="str" s="3">
        <f>HYPERLINK("https://www.getinge.com/int/products-and-solutions/cardiovascular-procedures/","/products-and-solutions/cardiovascular-procedures/")</f>
        <v>/products-and-solutions/cardiovascular-procedures/</v>
      </c>
      <c r="C477" t="inlineStr" s="2">
        <is>
          <t xml:space="preserve">Getinge supports cardiovascular and cardiothoracic procedures with tools and solutions that enhance the surgical experience and patient outcomes. But in the end, the most important tool is the surgeon’s hands. This cookbook is a lighthearted tribute to their skill - and a fun way to keep those hands sharp. Here are nine recipes that will improve dexterity in the operating room.</t>
        </is>
      </c>
      <c r="D477" s="2"/>
      <c r="F477" s="4"/>
      <c r="G477" t="inlineStr" s="2">
        <is>
          <t xml:space="preserve">Dennoch ist das wichtigste Werkzeug in einem Operationssaal der Chirurg und die Chirurgin, deren erfahrene Hände die Produkte anwenden. Dieses Kochbuch ist eine Hommage an alle Chirurg*innen und bietet eine unterhaltsame und einzigartige Möglichkeit, ihre Fingerfertigkeit zu trainieren.</t>
        </is>
      </c>
      <c r="H477" t="inlineStr" s="2">
        <is>
          <t xml:space="preserve">Als langjähriger Partner für kardiovaskuläre und kardiothorakale Eingriffe bietet Getinge Produkte, Technologien und Kompetenzen zur Verbesserung der klinischen Möglichkeiten vor, während und nach der Operation.</t>
        </is>
      </c>
      <c r="I477" s="2"/>
      <c r="J477" s="4"/>
      <c r="K477" s="2"/>
      <c r="L477" t="str" s="3">
        <f>HYPERLINK("https://www.getinge.com/de/produkte-und-loesungen/kardiovaskulare-eingriffe/","/produkte-und-loesungen/kardiovaskulare-eingriffe/")</f>
        <v>/produkte-und-loesungen/kardiovaskulare-eingriffe/</v>
      </c>
    </row>
    <row r="478">
      <c r="A478" s="0">
        <v>477</v>
      </c>
      <c r="B478" t="str" s="3">
        <f>HYPERLINK("https://www.getinge.com/int/products-and-solutions/digital-health/","/products-and-solutions/digital-health/")</f>
        <v>/products-and-solutions/digital-health/</v>
      </c>
      <c r="C478" t="inlineStr" s="2">
        <is>
          <t xml:space="preserve">We provide digital solutions that have been developed and optimized for ease of use over many years. Our solutions can be configured to fit every health care provider’s specific demands, ensuring easy adoption and providing real and immediate benefits, ultimately improving the experience for patients and staff.</t>
        </is>
      </c>
      <c r="D478" s="2"/>
      <c r="F478" s="4"/>
      <c r="G478" t="inlineStr" s="2">
        <is>
          <t xml:space="preserve">Mit unseren bewährten digitalen Lösungen kann im Gesundheitswesen mehr Zeit für die Versorgung von Patienten geschaffen werden. Durch digitale Abläufe und Verfahren kann der Verwaltungsaufwand reduziert und Informationen in Echtzeit zur Verfügung gestellt werden. Unsere Lösungen lassen auf die individuellen Anforderungen der verschiedensten Einrichtungen im Gesundheitswesen anpassen und gewährleisten eine flache Lernkurve. Zusätzlich bieten sie unmittelbare und sofort spürbare Vorteile, die das Erlebnis und die Sicherheit von Patientinnen und Patienten sowie Mitarbeiterinnen und Mitarbeitern verbessern.</t>
        </is>
      </c>
      <c r="H478" s="2"/>
      <c r="I478" s="2"/>
      <c r="J478" s="4"/>
      <c r="K478" s="2"/>
      <c r="L478" t="str" s="3">
        <f>HYPERLINK("https://www.getinge.com/de/produkte-und-loesungen/digitalisierung-im-gesundheitswesen/","/produkte-und-loesungen/digitalisierung-im-gesundheitswesen/")</f>
        <v>/produkte-und-loesungen/digitalisierung-im-gesundheitswesen/</v>
      </c>
    </row>
    <row r="479">
      <c r="A479" s="0">
        <v>478</v>
      </c>
      <c r="B479" t="str" s="3">
        <f>HYPERLINK("https://www.getinge.com/int/products-and-solutions/intensive-care/quiet-icu/","/products-and-solutions/intensive-care/quiet-icu/")</f>
        <v>/products-and-solutions/intensive-care/quiet-icu/</v>
      </c>
      <c r="C479" t="inlineStr" s="2">
        <is>
          <t xml:space="preserve">Getinge News and Press Release</t>
        </is>
      </c>
      <c r="D479" t="inlineStr" s="2">
        <is>
          <t xml:space="preserve">Neuigkeiten von Getinge und Pressemitteilung</t>
        </is>
      </c>
      <c r="E479" t="inlineStr" s="0">
        <is>
          <t xml:space="preserve">High</t>
        </is>
      </c>
      <c r="F479" s="4"/>
      <c r="G479" t="inlineStr" s="2">
        <is>
          <t xml:space="preserve">Traumabehandlung auf der leisen ITS – Video</t>
        </is>
      </c>
      <c r="H479" t="inlineStr" s="2">
        <is>
          <t xml:space="preserve">Erfahren Sie mehr über den neuen IHE-Standard</t>
        </is>
      </c>
      <c r="I479" t="inlineStr" s="2">
        <is>
          <t xml:space="preserve">HIMSS Möglichkeiten bei der Aus- und Weiterbildung</t>
        </is>
      </c>
      <c r="J479" s="4"/>
      <c r="K479" s="2"/>
      <c r="L479" t="str" s="3">
        <f>HYPERLINK("https://www.getinge.com/de/produkte-und-loesungen/intensivmedizin/leise-its/","/produkte-und-loesungen/intensivmedizin/leise-its/")</f>
        <v>/produkte-und-loesungen/intensivmedizin/leise-its/</v>
      </c>
    </row>
    <row r="480">
      <c r="A480" s="0">
        <v>479</v>
      </c>
      <c r="B480" t="str" s="3">
        <f>HYPERLINK("https://www.getinge.com/int/products-and-solutions/intensive-care/quiet-icu/","/products-and-solutions/intensive-care/quiet-icu/")</f>
        <v>/products-and-solutions/intensive-care/quiet-icu/</v>
      </c>
      <c r="C480" t="inlineStr" s="2">
        <is>
          <t xml:space="preserve">Getinge and partners showcase connectivity solutions for the quiet ICU of the future</t>
        </is>
      </c>
      <c r="D480" t="inlineStr" s="2">
        <is>
          <t xml:space="preserve">Getinge und seine Partner stellen Konnektivitätslösungen für die leise Intensivstation der Zukunft vor</t>
        </is>
      </c>
      <c r="E480" t="inlineStr" s="0">
        <is>
          <t xml:space="preserve">Medium</t>
        </is>
      </c>
      <c r="F480" s="4"/>
      <c r="G480" t="inlineStr" s="2">
        <is>
          <t xml:space="preserve">Eine leise Intensivstation – die Zukunft der Intensivpflege</t>
        </is>
      </c>
      <c r="H480" t="inlineStr" s="2">
        <is>
          <t xml:space="preserve">Neuigkeiten von Getinge und Pressemitteilung</t>
        </is>
      </c>
      <c r="I480" s="2"/>
      <c r="J480" s="4"/>
      <c r="K480" s="2"/>
      <c r="L480" t="str" s="3">
        <f>HYPERLINK("https://www.getinge.com/de/produkte-und-loesungen/intensivmedizin/leise-its/","/produkte-und-loesungen/intensivmedizin/leise-its/")</f>
        <v>/produkte-und-loesungen/intensivmedizin/leise-its/</v>
      </c>
    </row>
    <row r="481">
      <c r="A481" s="0">
        <v>480</v>
      </c>
      <c r="B481" t="str" s="3">
        <f>HYPERLINK("https://www.getinge.com/int/products-and-solutions/intensive-care/quiet-icu/","/products-and-solutions/intensive-care/quiet-icu/")</f>
        <v>/products-and-solutions/intensive-care/quiet-icu/</v>
      </c>
      <c r="C481" t="inlineStr" s="2">
        <is>
          <t xml:space="preserve">Trauma Recovery in the Quiet ICU - video</t>
        </is>
      </c>
      <c r="D481" t="inlineStr" s="2">
        <is>
          <t xml:space="preserve">Traumabehandlung auf der leisen ITS – Video</t>
        </is>
      </c>
      <c r="E481" t="inlineStr" s="0">
        <is>
          <t xml:space="preserve">High</t>
        </is>
      </c>
      <c r="F481" s="4"/>
      <c r="G481" t="inlineStr" s="2">
        <is>
          <t xml:space="preserve">Erfahren Sie mehr über den neuen IHE-Standard</t>
        </is>
      </c>
      <c r="H481" t="inlineStr" s="2">
        <is>
          <t xml:space="preserve">HIMSS Möglichkeiten bei der Aus- und Weiterbildung</t>
        </is>
      </c>
      <c r="I481" t="inlineStr" s="2">
        <is>
          <t xml:space="preserve">Neuigkeiten von Getinge und Pressemitteilung</t>
        </is>
      </c>
      <c r="J481" s="4"/>
      <c r="K481" s="2"/>
      <c r="L481" t="str" s="3">
        <f>HYPERLINK("https://www.getinge.com/de/produkte-und-loesungen/intensivmedizin/leise-its/","/produkte-und-loesungen/intensivmedizin/leise-its/")</f>
        <v>/produkte-und-loesungen/intensivmedizin/leise-its/</v>
      </c>
    </row>
    <row r="482">
      <c r="A482" s="0">
        <v>481</v>
      </c>
      <c r="B482" t="str" s="3">
        <f>HYPERLINK("https://www.getinge.com/int/products-and-solutions/intensive-care/quiet-icu/","/products-and-solutions/intensive-care/quiet-icu/")</f>
        <v>/products-and-solutions/intensive-care/quiet-icu/</v>
      </c>
      <c r="C482" t="inlineStr" s="2">
        <is>
          <t xml:space="preserve">HIMSS20 Digital Interoperability Showcase</t>
        </is>
      </c>
      <c r="D482" t="inlineStr" s="2">
        <is>
          <t xml:space="preserve">HIMSS20 Vorführung der digitalen Kompatibilität</t>
        </is>
      </c>
      <c r="E482" t="inlineStr" s="0">
        <is>
          <t xml:space="preserve">High</t>
        </is>
      </c>
      <c r="F482" s="4"/>
      <c r="G482" t="inlineStr" s="2">
        <is>
          <t xml:space="preserve">HIMSS Möglichkeiten bei der Aus- und Weiterbildung</t>
        </is>
      </c>
      <c r="H482" t="inlineStr" s="2">
        <is>
          <t xml:space="preserve">Eine leise Intensivstation – die Zukunft der Intensivpflege</t>
        </is>
      </c>
      <c r="I482" t="inlineStr" s="2">
        <is>
          <t xml:space="preserve">Erfahren Sie mehr über den neuen IHE-Standard</t>
        </is>
      </c>
      <c r="J482" s="4"/>
      <c r="K482" s="2"/>
      <c r="L482" t="str" s="3">
        <f>HYPERLINK("https://www.getinge.com/de/produkte-und-loesungen/intensivmedizin/leise-its/","/produkte-und-loesungen/intensivmedizin/leise-its/")</f>
        <v>/produkte-und-loesungen/intensivmedizin/leise-its/</v>
      </c>
    </row>
    <row r="483">
      <c r="A483" s="0">
        <v>482</v>
      </c>
      <c r="B483" t="str" s="3">
        <f>HYPERLINK("https://www.getinge.com/int/products-and-solutions/intensive-care/quiet-icu/","/products-and-solutions/intensive-care/quiet-icu/")</f>
        <v>/products-and-solutions/intensive-care/quiet-icu/</v>
      </c>
      <c r="C483" t="inlineStr" s="2">
        <is>
          <t xml:space="preserve">Learn more about the new IHE standard</t>
        </is>
      </c>
      <c r="D483" t="inlineStr" s="2">
        <is>
          <t xml:space="preserve">Erfahren Sie mehr über den neuen IHE-Standard</t>
        </is>
      </c>
      <c r="E483" t="inlineStr" s="0">
        <is>
          <t xml:space="preserve">Medium</t>
        </is>
      </c>
      <c r="F483" s="4"/>
      <c r="G483" t="inlineStr" s="2">
        <is>
          <t xml:space="preserve">Traumabehandlung auf der leisen ITS – Video</t>
        </is>
      </c>
      <c r="H483" t="inlineStr" s="2">
        <is>
          <t xml:space="preserve">Neuigkeiten von Getinge und Pressemitteilung</t>
        </is>
      </c>
      <c r="I483" t="inlineStr" s="2">
        <is>
          <t xml:space="preserve">HIMSS Möglichkeiten bei der Aus- und Weiterbildung</t>
        </is>
      </c>
      <c r="J483" s="4"/>
      <c r="K483" s="2"/>
      <c r="L483" t="str" s="3">
        <f>HYPERLINK("https://www.getinge.com/de/produkte-und-loesungen/intensivmedizin/leise-its/","/produkte-und-loesungen/intensivmedizin/leise-its/")</f>
        <v>/produkte-und-loesungen/intensivmedizin/leise-its/</v>
      </c>
    </row>
    <row r="484">
      <c r="A484" s="0">
        <v>483</v>
      </c>
      <c r="B484" t="str" s="3">
        <f>HYPERLINK("https://www.getinge.com/int/products-and-solutions/operating-room/","/products-and-solutions/operating-room/")</f>
        <v>/products-and-solutions/operating-room/</v>
      </c>
      <c r="C484" t="inlineStr" s="2">
        <is>
          <t xml:space="preserve">Ambulatory Surgery Center (ASC)</t>
        </is>
      </c>
      <c r="D484" t="inlineStr" s="2">
        <is>
          <t xml:space="preserve">Ambulantes OP-Zentrum</t>
        </is>
      </c>
      <c r="E484" t="inlineStr" s="0">
        <is>
          <t xml:space="preserve">Medium</t>
        </is>
      </c>
      <c r="F484" s="4"/>
      <c r="G484" t="inlineStr" s="2">
        <is>
          <t xml:space="preserve">Fluoreszenzbildgebung</t>
        </is>
      </c>
      <c r="H484" s="2"/>
      <c r="I484" s="2"/>
      <c r="J484" s="4"/>
      <c r="K484" t="inlineStr" s="2">
        <is>
          <t xml:space="preserve">protected-token-mismatch: missing in target: ASC</t>
        </is>
      </c>
      <c r="L484" t="str" s="3">
        <f>HYPERLINK("https://www.getinge.com/de/produkte-und-loesungen/operationssaal/","/produkte-und-loesungen/operationssaal/")</f>
        <v>/produkte-und-loesungen/operationssaal/</v>
      </c>
    </row>
    <row r="485">
      <c r="A485" s="0">
        <v>484</v>
      </c>
      <c r="B485" t="str" s="3">
        <f>HYPERLINK("https://www.getinge.com/int/products-and-solutions/operating-room/","/products-and-solutions/operating-room/")</f>
        <v>/products-and-solutions/operating-room/</v>
      </c>
      <c r="C485" t="inlineStr" s="2">
        <is>
          <t xml:space="preserve">Clinics and ambulatory surgery centers have unique needs. That’s why Getinge has built a team of experienced project specialists who can help you design an efficient facility using high-quality medical products. We use our expertise to build new or re-equipped facilities to meet your unique requirements. From project planning and process optimization through commissioning and maintenance, Getinge delivers exactly what you need: perfectly coordinated equipment and reliable service from a single source. Let us help you provide excellent medical care.</t>
        </is>
      </c>
      <c r="D485" s="2"/>
      <c r="F485" s="4"/>
      <c r="G485" t="inlineStr" s="2">
        <is>
          <t xml:space="preserve">FLUOPTICS® eröffnet neue Anwendungen für die Fluoreszenzbildgebung. Unsere Lösungen kombinieren Autofluoreszenz- und Fluoreszenzbildgebung, um Chirurgen eine noch nie dagewesene Information über die Lage von autofluoreszierendem Gewebe und die Beurteilung der Perfusion zu liefern. Chirurgen werden mit größerer Präzision, Effizienz und Sicherheit geführt. FLUOPTICS® Produkte werden von internationalen klinischen Teams entwickelt und validiert, um den Bedürfnissen und gesundheitlichen Herausforderungen ihrer Patienten gerecht zu werden.</t>
        </is>
      </c>
      <c r="H485" t="inlineStr" s="2">
        <is>
          <t xml:space="preserve">Ein operativer Arbeitsbereich, der bildgebende Ausstattung mit einem multifunktionalen Operationstisch kombiniert. Damit können Diagnose und Behandlung am gleichen Ort erfolgen, wodurch Risiken und Verzögerungen verringert, die Patientensicherheit verbessert und letztendlich die Kosten reduziert werden. Die OP-Lagerfläche erfüllt nicht nur die Anforderungen zahlreicher Bereiche der Chirurgie, sondern kann auch bei Verwendung für moderne Bildgebung den Anforderungen entsprechend verschoben werden.</t>
        </is>
      </c>
      <c r="I485" t="inlineStr" s="2">
        <is>
          <t xml:space="preserve">Egal ob Neubau, Umbau oder Anbau – ein ambulantes OP-Zentrum ist ein komplexes Projekt. Als Ihr strategischer Partner für Praxiskliniken und ambulante OP-Zentren bieten wir ein breites Angebot von der Planung, Prozessoptimierung, Ausstattung, Finanzierung bis hin zur Inbetriebnahme und Wartung, alles aus einer Hand.</t>
        </is>
      </c>
      <c r="J485" s="4"/>
      <c r="K485" s="2"/>
      <c r="L485" t="str" s="3">
        <f>HYPERLINK("https://www.getinge.com/de/produkte-und-loesungen/operationssaal/","/produkte-und-loesungen/operationssaal/")</f>
        <v>/produkte-und-loesungen/operationssaal/</v>
      </c>
    </row>
    <row r="486">
      <c r="A486" s="0">
        <v>485</v>
      </c>
      <c r="B486" t="str" s="3">
        <f>HYPERLINK("https://www.getinge.com/int/products-and-solutions/operating-room/","/products-and-solutions/operating-room/")</f>
        <v>/products-and-solutions/operating-room/</v>
      </c>
      <c r="C486" t="inlineStr" s="2">
        <is>
          <t xml:space="preserve">Hybrid Operating Room</t>
        </is>
      </c>
      <c r="D486" t="inlineStr" s="2">
        <is>
          <t xml:space="preserve">Hybrid-OP</t>
        </is>
      </c>
      <c r="E486" t="inlineStr" s="0">
        <is>
          <t xml:space="preserve">Low</t>
        </is>
      </c>
      <c r="F486" s="4"/>
      <c r="G486" t="inlineStr" s="2">
        <is>
          <t xml:space="preserve">Ambulantes OP-Zentrum</t>
        </is>
      </c>
      <c r="H486" t="inlineStr" s="2">
        <is>
          <t xml:space="preserve">Fluoreszenzbildgebung</t>
        </is>
      </c>
      <c r="I486" s="2"/>
      <c r="J486" s="4"/>
      <c r="K486" s="2"/>
      <c r="L486" t="str" s="3">
        <f>HYPERLINK("https://www.getinge.com/de/produkte-und-loesungen/operationssaal/","/produkte-und-loesungen/operationssaal/")</f>
        <v>/produkte-und-loesungen/operationssaal/</v>
      </c>
    </row>
    <row r="487">
      <c r="A487" s="0">
        <v>486</v>
      </c>
      <c r="B487" t="str" s="3">
        <f>HYPERLINK("https://www.getinge.com/int/products-and-solutions/operating-room/","/products-and-solutions/operating-room/")</f>
        <v>/products-and-solutions/operating-room/</v>
      </c>
      <c r="C487" t="inlineStr" s="2">
        <is>
          <t xml:space="preserve">A single surgical workspace that combines imaging equipment with a multifunctional surgical table. It allows clinicians to diagnose and treat in a single location, helps reducing risk and delays, participate in improving patient safety, and ultimately reducing costs. The surgical table top not only meets the needs of multiple surgical disciplines but also balances the need for panning when used for advanced imaging.</t>
        </is>
      </c>
      <c r="D487" t="inlineStr" s="2">
        <is>
          <t xml:space="preserve">Ein operativer Arbeitsbereich, der bildgebende Ausstattung mit einem multifunktionalen Operationstisch kombiniert. Damit können Diagnose und Behandlung am gleichen Ort erfolgen, wodurch Risiken und Verzögerungen verringert, die Patientensicherheit verbessert und letztendlich die Kosten reduziert werden. Die OP-Lagerfläche erfüllt nicht nur die Anforderungen zahlreicher Bereiche der Chirurgie, sondern kann auch bei Verwendung für moderne Bildgebung den Anforderungen entsprechend verschoben werden.</t>
        </is>
      </c>
      <c r="E487" t="inlineStr" s="0">
        <is>
          <t xml:space="preserve">Medium</t>
        </is>
      </c>
      <c r="F487" s="4"/>
      <c r="G487" t="inlineStr" s="2">
        <is>
          <t xml:space="preserve">FLUOPTICS® eröffnet neue Anwendungen für die Fluoreszenzbildgebung. Unsere Lösungen kombinieren Autofluoreszenz- und Fluoreszenzbildgebung, um Chirurgen eine noch nie dagewesene Information über die Lage von autofluoreszierendem Gewebe und die Beurteilung der Perfusion zu liefern. Chirurgen werden mit größerer Präzision, Effizienz und Sicherheit geführt. FLUOPTICS® Produkte werden von internationalen klinischen Teams entwickelt und validiert, um den Bedürfnissen und gesundheitlichen Herausforderungen ihrer Patienten gerecht zu werden.</t>
        </is>
      </c>
      <c r="H487" t="inlineStr" s="2">
        <is>
          <t xml:space="preserve">Egal ob Neubau, Umbau oder Anbau – ein ambulantes OP-Zentrum ist ein komplexes Projekt. Als Ihr strategischer Partner für Praxiskliniken und ambulante OP-Zentren bieten wir ein breites Angebot von der Planung, Prozessoptimierung, Ausstattung, Finanzierung bis hin zur Inbetriebnahme und Wartung, alles aus einer Hand.</t>
        </is>
      </c>
      <c r="I487" s="2"/>
      <c r="J487" s="4"/>
      <c r="K487" s="2"/>
      <c r="L487" t="str" s="3">
        <f>HYPERLINK("https://www.getinge.com/de/produkte-und-loesungen/operationssaal/","/produkte-und-loesungen/operationssaal/")</f>
        <v>/produkte-und-loesungen/operationssaal/</v>
      </c>
    </row>
    <row r="488">
      <c r="A488" s="0">
        <v>487</v>
      </c>
      <c r="B488" t="str" s="3">
        <f>HYPERLINK("https://www.getinge.com/int/products-and-solutions/operating-room/","/products-and-solutions/operating-room/")</f>
        <v>/products-and-solutions/operating-room/</v>
      </c>
      <c r="C488" t="inlineStr" s="2">
        <is>
          <t xml:space="preserve">Fluorescence Imaging</t>
        </is>
      </c>
      <c r="D488" t="inlineStr" s="2">
        <is>
          <t xml:space="preserve">Fluoreszenzbildgebung</t>
        </is>
      </c>
      <c r="E488" t="inlineStr" s="0">
        <is>
          <t xml:space="preserve">High</t>
        </is>
      </c>
      <c r="F488" s="4"/>
      <c r="G488" t="inlineStr" s="2">
        <is>
          <t xml:space="preserve">Ambulantes OP-Zentrum</t>
        </is>
      </c>
      <c r="H488" s="2"/>
      <c r="I488" s="2"/>
      <c r="J488" s="4"/>
      <c r="K488" s="2"/>
      <c r="L488" t="str" s="3">
        <f>HYPERLINK("https://www.getinge.com/de/produkte-und-loesungen/operationssaal/","/produkte-und-loesungen/operationssaal/")</f>
        <v>/produkte-und-loesungen/operationssaal/</v>
      </c>
    </row>
    <row r="489">
      <c r="A489" s="0">
        <v>488</v>
      </c>
      <c r="B489" t="str" s="3">
        <f>HYPERLINK("https://www.getinge.com/int/products-and-solutions/operating-room/","/products-and-solutions/operating-room/")</f>
        <v>/products-and-solutions/operating-room/</v>
      </c>
      <c r="C489" t="inlineStr" s="2">
        <is>
          <t xml:space="preserve">FLUOPTICS® opens new applications for fluorescence imaging. Our solutions combine autofluorescence and fluorescence imaging to provide surgeons with an unprecedented information of autofluorescent tissues location and perfusion assessment. Surgeons are guided with greater precision, efficiency and safety. FLUOPTICS® products are developed and validated by international clinical teams in response to their patients’ needs and health challenges.</t>
        </is>
      </c>
      <c r="D489" t="inlineStr" s="2">
        <is>
          <t xml:space="preserve">FLUOPTICS® eröffnet neue Anwendungen für die Fluoreszenzbildgebung. Unsere Lösungen kombinieren Autofluoreszenz- und Fluoreszenzbildgebung, um Chirurgen eine noch nie dagewesene Information über die Lage von autofluoreszierendem Gewebe und die Beurteilung der Perfusion zu liefern. Chirurgen werden mit größerer Präzision, Effizienz und Sicherheit geführt. FLUOPTICS® Produkte werden von internationalen klinischen Teams entwickelt und validiert, um den Bedürfnissen und gesundheitlichen Herausforderungen ihrer Patienten gerecht zu werden.</t>
        </is>
      </c>
      <c r="E489" t="inlineStr" s="0">
        <is>
          <t xml:space="preserve">Medium</t>
        </is>
      </c>
      <c r="F489" s="4"/>
      <c r="G489" t="inlineStr" s="2">
        <is>
          <t xml:space="preserve">Ein operativer Arbeitsbereich, der bildgebende Ausstattung mit einem multifunktionalen Operationstisch kombiniert. Damit können Diagnose und Behandlung am gleichen Ort erfolgen, wodurch Risiken und Verzögerungen verringert, die Patientensicherheit verbessert und letztendlich die Kosten reduziert werden. Die OP-Lagerfläche erfüllt nicht nur die Anforderungen zahlreicher Bereiche der Chirurgie, sondern kann auch bei Verwendung für moderne Bildgebung den Anforderungen entsprechend verschoben werden.</t>
        </is>
      </c>
      <c r="H489" t="inlineStr" s="2">
        <is>
          <t xml:space="preserve">Egal ob Neubau, Umbau oder Anbau – ein ambulantes OP-Zentrum ist ein komplexes Projekt. Als Ihr strategischer Partner für Praxiskliniken und ambulante OP-Zentren bieten wir ein breites Angebot von der Planung, Prozessoptimierung, Ausstattung, Finanzierung bis hin zur Inbetriebnahme und Wartung, alles aus einer Hand.</t>
        </is>
      </c>
      <c r="I489" s="2"/>
      <c r="J489" s="4"/>
      <c r="K489" s="2"/>
      <c r="L489" t="str" s="3">
        <f>HYPERLINK("https://www.getinge.com/de/produkte-und-loesungen/operationssaal/","/produkte-und-loesungen/operationssaal/")</f>
        <v>/produkte-und-loesungen/operationssaal/</v>
      </c>
    </row>
    <row r="490">
      <c r="A490" s="0">
        <v>489</v>
      </c>
      <c r="B490" t="str" s="3">
        <f>HYPERLINK("https://www.getinge.com/int/products-and-solutions/sterile-reprocessing/endoscope-reprocessing/","/products-and-solutions/sterile-reprocessing/endoscope-reprocessing/")</f>
        <v>/products-and-solutions/sterile-reprocessing/endoscope-reprocessing/</v>
      </c>
      <c r="C490" t="inlineStr" s="2">
        <is>
          <t xml:space="preserve">Aquadis Endo 110 may be pending regulatory approval to be marketed in your country.</t>
        </is>
      </c>
      <c r="D490" s="2"/>
      <c r="F490" s="4"/>
      <c r="G490" t="inlineStr" s="2">
        <is>
          <t xml:space="preserve">Trocknung und sichere Lagerung halten desinfizierte Endoskope in einem geschützten und einsatzbereiten Zustand.</t>
        </is>
      </c>
      <c r="H490" t="inlineStr" s="2">
        <is>
          <t xml:space="preserve">Das Endoskop wird in einem speziell entwickelten Aufbewahrungsschrank oder mit einem Vakuum-Verpackungssystem geschützt.</t>
        </is>
      </c>
      <c r="I490" s="2"/>
      <c r="J490" s="4"/>
      <c r="K490" s="2"/>
      <c r="L490" t="str" s="3">
        <f>HYPERLINK("https://www.getinge.com/de/produkte-und-loesungen/sterilgutaufbereitung/endoskopreinigung/","/produkte-und-loesungen/sterilgutaufbereitung/endoskopreinigung/")</f>
        <v>/produkte-und-loesungen/sterilgutaufbereitung/endoskopreinigung/</v>
      </c>
    </row>
    <row r="491">
      <c r="A491" s="0">
        <v>490</v>
      </c>
      <c r="B491" t="str" s="3">
        <f>HYPERLINK("https://www.getinge.com/int/products-and-solutions/sterile-reprocessing/endoscope-reprocessing/","/products-and-solutions/sterile-reprocessing/endoscope-reprocessing/")</f>
        <v>/products-and-solutions/sterile-reprocessing/endoscope-reprocessing/</v>
      </c>
      <c r="C491" t="inlineStr" s="2">
        <is>
          <t xml:space="preserve">Drying and Storage</t>
        </is>
      </c>
      <c r="D491" s="2"/>
      <c r="F491" s="4"/>
      <c r="G491" t="inlineStr" s="2">
        <is>
          <t xml:space="preserve">Trocknung und Lagerung</t>
        </is>
      </c>
      <c r="H491" s="2"/>
      <c r="I491" s="2"/>
      <c r="J491" s="4"/>
      <c r="K491" s="2"/>
      <c r="L491" t="str" s="3">
        <f>HYPERLINK("https://www.getinge.com/de/produkte-und-loesungen/sterilgutaufbereitung/endoskopreinigung/","/produkte-und-loesungen/sterilgutaufbereitung/endoskopreinigung/")</f>
        <v>/produkte-und-loesungen/sterilgutaufbereitung/endoskopreinigung/</v>
      </c>
    </row>
    <row r="492">
      <c r="A492" s="0">
        <v>491</v>
      </c>
      <c r="B492" t="str" s="3">
        <f>HYPERLINK("https://www.getinge.com/int/products-and-solutions/sterile-reprocessing/endoscope-reprocessing/","/products-and-solutions/sterile-reprocessing/endoscope-reprocessing/")</f>
        <v>/products-and-solutions/sterile-reprocessing/endoscope-reprocessing/</v>
      </c>
      <c r="C492" t="inlineStr" s="2">
        <is>
          <t xml:space="preserve">Drying and secure storage keep disinfected endoscopes in a safe and ready to use condition.</t>
        </is>
      </c>
      <c r="D492" t="inlineStr" s="2">
        <is>
          <t xml:space="preserve">Trocknung und sichere Lagerung halten desinfizierte Endoskope in einem geschützten und einsatzbereiten Zustand.</t>
        </is>
      </c>
      <c r="E492" t="inlineStr" s="0">
        <is>
          <t xml:space="preserve">Low</t>
        </is>
      </c>
      <c r="F492" s="4"/>
      <c r="G492" t="inlineStr" s="2">
        <is>
          <t xml:space="preserve">Das Endoskop wird in einem speziell entwickelten Aufbewahrungsschrank oder mit einem Vakuum-Verpackungssystem geschützt.</t>
        </is>
      </c>
      <c r="H492" t="inlineStr" s="2">
        <is>
          <t xml:space="preserve">Die Trocknung erfolgt entweder über eine optionale Trocknungsfunktion im RDG-E oder mithilfe eines speziell entwickelten Trocknungs- und Lagerungsschranks.</t>
        </is>
      </c>
      <c r="I492" s="2"/>
      <c r="J492" s="4"/>
      <c r="K492" s="2"/>
      <c r="L492" t="str" s="3">
        <f>HYPERLINK("https://www.getinge.com/de/produkte-und-loesungen/sterilgutaufbereitung/endoskopreinigung/","/produkte-und-loesungen/sterilgutaufbereitung/endoskopreinigung/")</f>
        <v>/produkte-und-loesungen/sterilgutaufbereitung/endoskopreinigung/</v>
      </c>
    </row>
    <row r="493">
      <c r="A493" s="0">
        <v>492</v>
      </c>
      <c r="B493" t="str" s="3">
        <f>HYPERLINK("https://www.getinge.com/int/products-and-solutions/sterile-reprocessing/endoscope-reprocessing/","/products-and-solutions/sterile-reprocessing/endoscope-reprocessing/")</f>
        <v>/products-and-solutions/sterile-reprocessing/endoscope-reprocessing/</v>
      </c>
      <c r="C493" t="inlineStr" s="2">
        <is>
          <t xml:space="preserve">Drying is achieved with an optional dry function in the AER or using a specially designed cabinet.</t>
        </is>
      </c>
      <c r="D493" t="inlineStr" s="2">
        <is>
          <t xml:space="preserve">Die Trocknung erfolgt entweder über eine optionale Trocknungsfunktion im RDG-E oder mithilfe eines speziell entwickelten Trocknungs- und Lagerungsschranks.</t>
        </is>
      </c>
      <c r="E493" t="inlineStr" s="0">
        <is>
          <t xml:space="preserve">Low</t>
        </is>
      </c>
      <c r="F493" s="4"/>
      <c r="G493" t="inlineStr" s="2">
        <is>
          <t xml:space="preserve">Das Endoskop wird in einem speziell entwickelten Aufbewahrungsschrank oder mit einem Vakuum-Verpackungssystem geschützt.</t>
        </is>
      </c>
      <c r="H493" t="inlineStr" s="2">
        <is>
          <t xml:space="preserve">Trocknung und sichere Lagerung halten desinfizierte Endoskope in einem geschützten und einsatzbereiten Zustand.</t>
        </is>
      </c>
      <c r="I493" s="2"/>
      <c r="J493" s="4"/>
      <c r="K493" s="2"/>
      <c r="L493" t="str" s="3">
        <f>HYPERLINK("https://www.getinge.com/de/produkte-und-loesungen/sterilgutaufbereitung/endoskopreinigung/","/produkte-und-loesungen/sterilgutaufbereitung/endoskopreinigung/")</f>
        <v>/produkte-und-loesungen/sterilgutaufbereitung/endoskopreinigung/</v>
      </c>
    </row>
    <row r="494">
      <c r="A494" s="0">
        <v>493</v>
      </c>
      <c r="B494" t="str" s="3">
        <f>HYPERLINK("https://www.getinge.com/int/products-and-solutions/sterile-reprocessing/endoscope-reprocessing/","/products-and-solutions/sterile-reprocessing/endoscope-reprocessing/")</f>
        <v>/products-and-solutions/sterile-reprocessing/endoscope-reprocessing/</v>
      </c>
      <c r="C494" t="inlineStr" s="2">
        <is>
          <t xml:space="preserve">The scope is protected in specially designed cabinet or with a vacuum packing system.</t>
        </is>
      </c>
      <c r="D494" t="inlineStr" s="2">
        <is>
          <t xml:space="preserve">Das Endoskop wird in einem speziell entwickelten Aufbewahrungsschrank oder mit einem Vakuum-Verpackungssystem geschützt.</t>
        </is>
      </c>
      <c r="E494" t="inlineStr" s="0">
        <is>
          <t xml:space="preserve">Medium</t>
        </is>
      </c>
      <c r="F494" s="4"/>
      <c r="G494" t="inlineStr" s="2">
        <is>
          <t xml:space="preserve">Trocknung und sichere Lagerung halten desinfizierte Endoskope in einem geschützten und einsatzbereiten Zustand.</t>
        </is>
      </c>
      <c r="H494" t="inlineStr" s="2">
        <is>
          <t xml:space="preserve">Die Trocknung erfolgt entweder über eine optionale Trocknungsfunktion im RDG-E oder mithilfe eines speziell entwickelten Trocknungs- und Lagerungsschranks.</t>
        </is>
      </c>
      <c r="I494" s="2"/>
      <c r="J494" s="4"/>
      <c r="K494" s="2"/>
      <c r="L494" t="str" s="3">
        <f>HYPERLINK("https://www.getinge.com/de/produkte-und-loesungen/sterilgutaufbereitung/endoskopreinigung/","/produkte-und-loesungen/sterilgutaufbereitung/endoskopreinigung/")</f>
        <v>/produkte-und-loesungen/sterilgutaufbereitung/endoskopreinigung/</v>
      </c>
    </row>
    <row r="495">
      <c r="A495" s="0">
        <v>494</v>
      </c>
      <c r="B495" t="str" s="3">
        <f>HYPERLINK("https://www.getinge.com/int/products/advanta-v12-balloon-expandable-covered-stent/","/products/advanta-v12-balloon-expandable-covered-stent/")</f>
        <v>/products/advanta-v12-balloon-expandable-covered-stent/</v>
      </c>
      <c r="C495" t="inlineStr" s="2">
        <is>
          <t xml:space="preserve">Optimized patient outcomes today, tomorrow and into the future [1][2][3][4][5][10][11]</t>
        </is>
      </c>
      <c r="D495" t="inlineStr" s="2">
        <is>
          <t xml:space="preserve">Optimierte Behandlungsergebnisse: heute, morgen und in Zukunft [1][2][3][4][5][10][11]</t>
        </is>
      </c>
      <c r="E495" t="inlineStr" s="0">
        <is>
          <t xml:space="preserve">High</t>
        </is>
      </c>
      <c r="F495" s="4"/>
      <c r="G495" t="inlineStr" s="2">
        <is>
          <t xml:space="preserve">Planbarkeit und Präzision, die bei der Platzierung eines gecoverten Stents benötigt werden[2][6][7][9][13]</t>
        </is>
      </c>
      <c r="H495" t="inlineStr" s="2">
        <is>
          <t xml:space="preserve">Vielseitig einsetzbar für unterschiedliche Behandlungsbedürfnisse, mit der Flexibilität zur Anpassung an die Gefäßanatomie [1][2][4][8]</t>
        </is>
      </c>
      <c r="I495" s="2"/>
      <c r="J495" s="4"/>
      <c r="K495" s="2"/>
      <c r="L495" t="str" s="3">
        <f>HYPERLINK("https://www.getinge.com/de/produkte/advanta-v12-ballonexpandierbarer-gecoverter-stent/","/produkte/advanta-v12-ballonexpandierbarer-gecoverter-stent/")</f>
        <v>/produkte/advanta-v12-ballonexpandierbarer-gecoverter-stent/</v>
      </c>
    </row>
    <row r="496">
      <c r="A496" s="0">
        <v>495</v>
      </c>
      <c r="B496" t="str" s="3">
        <f>HYPERLINK("https://www.getinge.com/int/products/advanta-v12-balloon-expandable-covered-stent/","/products/advanta-v12-balloon-expandable-covered-stent/")</f>
        <v>/products/advanta-v12-balloon-expandable-covered-stent/</v>
      </c>
      <c r="C496" t="inlineStr" s="2">
        <is>
          <t xml:space="preserve">The predictability and precision you need for covered stent placement [2][6][7][9][13]</t>
        </is>
      </c>
      <c r="D496" t="inlineStr" s="2">
        <is>
          <t xml:space="preserve">Planbarkeit und Präzision, die bei der Platzierung eines gecoverten Stents benötigt werden[2][6][7][9][13]</t>
        </is>
      </c>
      <c r="E496" t="inlineStr" s="0">
        <is>
          <t xml:space="preserve">High</t>
        </is>
      </c>
      <c r="F496" s="4"/>
      <c r="G496" t="inlineStr" s="2">
        <is>
          <t xml:space="preserve">Optimierte Behandlungsergebnisse: heute, morgen und in Zukunft [1][2][3][4][5][10][11]</t>
        </is>
      </c>
      <c r="H496" s="2"/>
      <c r="I496" s="2"/>
      <c r="J496" s="4"/>
      <c r="K496" s="2"/>
      <c r="L496" t="str" s="3">
        <f>HYPERLINK("https://www.getinge.com/de/produkte/advanta-v12-ballonexpandierbarer-gecoverter-stent/","/produkte/advanta-v12-ballonexpandierbarer-gecoverter-stent/")</f>
        <v>/produkte/advanta-v12-ballonexpandierbarer-gecoverter-stent/</v>
      </c>
    </row>
    <row r="497">
      <c r="A497" s="0">
        <v>496</v>
      </c>
      <c r="B497" t="str" s="3">
        <f>HYPERLINK("https://www.getinge.com/int/products/advanta-v12-balloon-expandable-covered-stent/","/products/advanta-v12-balloon-expandable-covered-stent/")</f>
        <v>/products/advanta-v12-balloon-expandable-covered-stent/</v>
      </c>
      <c r="C497" t="inlineStr" s="2">
        <is>
          <t xml:space="preserve">The versatility to adapt to different treatment needs, with flexibility to conform to the anatomy [1][2][4][8]</t>
        </is>
      </c>
      <c r="D497" t="inlineStr" s="2">
        <is>
          <t xml:space="preserve">Vielseitig einsetzbar für unterschiedliche Behandlungsbedürfnisse, mit der Flexibilität zur Anpassung an die Gefäßanatomie [1][2][4][8]</t>
        </is>
      </c>
      <c r="E497" t="inlineStr" s="0">
        <is>
          <t xml:space="preserve">Medium</t>
        </is>
      </c>
      <c r="F497" s="4"/>
      <c r="G497" t="inlineStr" s="2">
        <is>
          <t xml:space="preserve">Planbarkeit und Präzision, die bei der Platzierung eines gecoverten Stents benötigt werden[2][6][7][9][13]</t>
        </is>
      </c>
      <c r="H497" s="2"/>
      <c r="I497" s="2"/>
      <c r="J497" s="4"/>
      <c r="K497" s="2"/>
      <c r="L497" t="str" s="3">
        <f>HYPERLINK("https://www.getinge.com/de/produkte/advanta-v12-ballonexpandierbarer-gecoverter-stent/","/produkte/advanta-v12-ballonexpandierbarer-gecoverter-stent/")</f>
        <v>/produkte/advanta-v12-ballonexpandierbarer-gecoverter-stent/</v>
      </c>
    </row>
    <row r="498">
      <c r="A498" s="0">
        <v>497</v>
      </c>
      <c r="B498" t="str" s="3">
        <f>HYPERLINK("https://www.getinge.com/int/products/advanta-v12-balloon-expandable-covered-stent/","/products/advanta-v12-balloon-expandable-covered-stent/")</f>
        <v>/products/advanta-v12-balloon-expandable-covered-stent/</v>
      </c>
      <c r="C498" t="inlineStr" s="2">
        <is>
          <t xml:space="preserve">Durability isn't optional. It's vital.</t>
        </is>
      </c>
      <c r="D498" t="inlineStr" s="2">
        <is>
          <t xml:space="preserve">Haltbarkeit ist keine Option. Sie ist entscheidend.</t>
        </is>
      </c>
      <c r="E498" t="inlineStr" s="0">
        <is>
          <t xml:space="preserve">Medium</t>
        </is>
      </c>
      <c r="F498" s="4"/>
      <c r="G498" s="2"/>
      <c r="H498" s="2"/>
      <c r="I498" s="2"/>
      <c r="J498" s="4"/>
      <c r="K498" s="2"/>
      <c r="L498" t="str" s="3">
        <f>HYPERLINK("https://www.getinge.com/de/produkte/advanta-v12-ballonexpandierbarer-gecoverter-stent/","/produkte/advanta-v12-ballonexpandierbarer-gecoverter-stent/")</f>
        <v>/produkte/advanta-v12-ballonexpandierbarer-gecoverter-stent/</v>
      </c>
    </row>
    <row r="499">
      <c r="A499" s="0">
        <v>498</v>
      </c>
      <c r="B499" t="str" s="3">
        <f>HYPERLINK("https://www.getinge.com/int/products/advanta-v12-balloon-expandable-covered-stent/","/products/advanta-v12-balloon-expandable-covered-stent/")</f>
        <v>/products/advanta-v12-balloon-expandable-covered-stent/</v>
      </c>
      <c r="C499" t="inlineStr" s="2">
        <is>
          <t xml:space="preserve">Choose the stent that's designed – and proven – to go to the distance, giving you confidence with every crossing.[2]</t>
        </is>
      </c>
      <c r="D499" t="inlineStr" s="2">
        <is>
          <t xml:space="preserve">Setzen Sie auf einen Stent, der für Beständigkeit konzipiert und klinisch bewährt ist – für Vertrauen bei jedem Crossing. [2]</t>
        </is>
      </c>
      <c r="E499" t="inlineStr" s="0">
        <is>
          <t xml:space="preserve">High</t>
        </is>
      </c>
      <c r="F499" s="4"/>
      <c r="G499" s="2"/>
      <c r="H499" s="2"/>
      <c r="I499" s="2"/>
      <c r="J499" s="4"/>
      <c r="K499" s="2"/>
      <c r="L499" t="str" s="3">
        <f>HYPERLINK("https://www.getinge.com/de/produkte/advanta-v12-ballonexpandierbarer-gecoverter-stent/","/produkte/advanta-v12-ballonexpandierbarer-gecoverter-stent/")</f>
        <v>/produkte/advanta-v12-ballonexpandierbarer-gecoverter-stent/</v>
      </c>
    </row>
    <row r="500">
      <c r="A500" s="0">
        <v>499</v>
      </c>
      <c r="B500" t="str" s="3">
        <f>HYPERLINK("https://www.getinge.com/int/products/advanta-v12-balloon-expandable-covered-stent/","/products/advanta-v12-balloon-expandable-covered-stent/")</f>
        <v>/products/advanta-v12-balloon-expandable-covered-stent/</v>
      </c>
      <c r="C500" t="inlineStr" s="2">
        <is>
          <t xml:space="preserve">12mm large diameter stents with 9 Fr compatibility offers increased treatment options and direct access to aorto-iliac anatomy [2][4]</t>
        </is>
      </c>
      <c r="D500" t="inlineStr" s="2">
        <is>
          <t xml:space="preserve">Stents mit einem Durchmesser von 12 mm und einer Schleusen-Kompatibilität von 9 French bieten erweiterte Behandlungsmöglichkeiten und direkten Zugang zu den aortoiliakalen Gefäßen [2][4]</t>
        </is>
      </c>
      <c r="E500" t="inlineStr" s="0">
        <is>
          <t xml:space="preserve">High</t>
        </is>
      </c>
      <c r="F500" s="4"/>
      <c r="G500" s="2"/>
      <c r="H500" s="2"/>
      <c r="I500" s="2"/>
      <c r="J500" s="4"/>
      <c r="K500" s="2"/>
      <c r="L500" t="str" s="3">
        <f>HYPERLINK("https://www.getinge.com/de/produkte/advanta-v12-ballonexpandierbarer-gecoverter-stent/","/produkte/advanta-v12-ballonexpandierbarer-gecoverter-stent/")</f>
        <v>/produkte/advanta-v12-ballonexpandierbarer-gecoverter-stent/</v>
      </c>
    </row>
    <row r="501">
      <c r="A501" s="0">
        <v>500</v>
      </c>
      <c r="B501" t="str" s="3">
        <f>HYPERLINK("https://www.getinge.com/int/products/advanta-v12-balloon-expandable-covered-stent/","/products/advanta-v12-balloon-expandable-covered-stent/")</f>
        <v>/products/advanta-v12-balloon-expandable-covered-stent/</v>
      </c>
      <c r="C501" t="inlineStr" s="2">
        <is>
          <t xml:space="preserve">Expands from 12 to 16 mm [2]</t>
        </is>
      </c>
      <c r="D501" t="inlineStr" s="2">
        <is>
          <t xml:space="preserve">Erweiterbar von 12 auf 16 mm [2]</t>
        </is>
      </c>
      <c r="E501" t="inlineStr" s="0">
        <is>
          <t xml:space="preserve">High</t>
        </is>
      </c>
      <c r="F501" s="4"/>
      <c r="G501" s="2"/>
      <c r="H501" s="2"/>
      <c r="I501" s="2"/>
      <c r="J501" s="4"/>
      <c r="K501" s="2"/>
      <c r="L501" t="str" s="3">
        <f>HYPERLINK("https://www.getinge.com/de/produkte/advanta-v12-ballonexpandierbarer-gecoverter-stent/","/produkte/advanta-v12-ballonexpandierbarer-gecoverter-stent/")</f>
        <v>/produkte/advanta-v12-ballonexpandierbarer-gecoverter-stent/</v>
      </c>
    </row>
    <row r="502">
      <c r="A502" s="0">
        <v>501</v>
      </c>
      <c r="B502" t="str" s="3">
        <f>HYPERLINK("https://www.getinge.com/int/products/advanta-v12-balloon-expandable-covered-stent/","/products/advanta-v12-balloon-expandable-covered-stent/")</f>
        <v>/products/advanta-v12-balloon-expandable-covered-stent/</v>
      </c>
      <c r="C502" t="inlineStr" s="2">
        <is>
          <t xml:space="preserve">* Please see the Advanta V12 order information found in the documents tab for detailed compatibility. Refer to Instructions for Use for current indications, warnings, contraindications and precautions.</t>
        </is>
      </c>
      <c r="D502" t="inlineStr" s="2">
        <is>
          <t xml:space="preserve">* Detaillierte Informationen zur Kompatibilität finden Sie in den Advanta V12 Bestellinformationen unter der Registerkarte Dokumente</t>
        </is>
      </c>
      <c r="E502" t="inlineStr" s="0">
        <is>
          <t xml:space="preserve">Medium</t>
        </is>
      </c>
      <c r="F502" s="4"/>
      <c r="G502" t="inlineStr" s="2">
        <is>
          <t xml:space="preserve">Die aktuellen Indikationen, Warnhinweise, Kontraindikationen und Vorsichtsmaßnahmen finden Sie in der Gebrauchsanweisung.</t>
        </is>
      </c>
      <c r="H502" s="2"/>
      <c r="I502" s="2"/>
      <c r="J502" s="4"/>
      <c r="K502" s="2"/>
      <c r="L502" t="str" s="3">
        <f>HYPERLINK("https://www.getinge.com/de/produkte/advanta-v12-ballonexpandierbarer-gecoverter-stent/","/produkte/advanta-v12-ballonexpandierbarer-gecoverter-stent/")</f>
        <v>/produkte/advanta-v12-ballonexpandierbarer-gecoverter-stent/</v>
      </c>
    </row>
    <row r="503">
      <c r="A503" s="0">
        <v>502</v>
      </c>
      <c r="B503" t="str" s="3">
        <f>HYPERLINK("https://www.getinge.com/int/products/applikon-appliflex-st/","/products/applikon-appliflex-st/")</f>
        <v>/products/applikon-appliflex-st/</v>
      </c>
      <c r="C503" t="inlineStr" s="2">
        <is>
          <t xml:space="preserve">Cell line development, process development and scale up studies</t>
        </is>
      </c>
      <c r="D503" t="inlineStr" s="2">
        <is>
          <t xml:space="preserve">Zelllinienentwicklung, Prozessentwicklung und Scale-up-Studien</t>
        </is>
      </c>
      <c r="E503" t="inlineStr" s="0">
        <is>
          <t xml:space="preserve">High</t>
        </is>
      </c>
      <c r="F503" s="4"/>
      <c r="G503" t="inlineStr" s="2">
        <is>
          <t xml:space="preserve">Zell- und Genanwendungen (iPS-, NKT- und MSC-Zellen)</t>
        </is>
      </c>
      <c r="H503" t="inlineStr" s="2">
        <is>
          <t xml:space="preserve">Fermentationen (S. cerevisiae, K. lactis, B. subtilis und E. coli)</t>
        </is>
      </c>
      <c r="I503" t="inlineStr" s="2">
        <is>
          <t xml:space="preserve">Batch-, Fed-Batch- und Perfusions-Prozesse</t>
        </is>
      </c>
      <c r="J503" s="4"/>
      <c r="K503" s="2"/>
      <c r="L503" t="str" s="3">
        <f>HYPERLINK("https://www.getinge.com/de/produkte/applikon-appliflex-st/","/produkte/applikon-appliflex-st/")</f>
        <v>/produkte/applikon-appliflex-st/</v>
      </c>
    </row>
    <row r="504">
      <c r="A504" s="0">
        <v>503</v>
      </c>
      <c r="B504" t="str" s="3">
        <f>HYPERLINK("https://www.getinge.com/int/products/applikon-appliflex-st/","/products/applikon-appliflex-st/")</f>
        <v>/products/applikon-appliflex-st/</v>
      </c>
      <c r="C504" t="inlineStr" s="2">
        <is>
          <t xml:space="preserve">Batch, fed-batch and perfusion</t>
        </is>
      </c>
      <c r="D504" t="inlineStr" s="2">
        <is>
          <t xml:space="preserve">Batch-, Fed-Batch- und Perfusions-Prozesse</t>
        </is>
      </c>
      <c r="E504" t="inlineStr" s="0">
        <is>
          <t xml:space="preserve">High</t>
        </is>
      </c>
      <c r="F504" s="4"/>
      <c r="G504" t="inlineStr" s="2">
        <is>
          <t xml:space="preserve">Zell- und Genanwendungen (iPS-, NKT- und MSC-Zellen)</t>
        </is>
      </c>
      <c r="H504" t="inlineStr" s="2">
        <is>
          <t xml:space="preserve">Zellkulturanwendungen (CHO, HEK, BHK und Sf9)</t>
        </is>
      </c>
      <c r="I504" t="inlineStr" s="2">
        <is>
          <t xml:space="preserve">Zelllinienentwicklung, Prozessentwicklung und Scale-up-Studien</t>
        </is>
      </c>
      <c r="J504" s="4"/>
      <c r="K504" s="2"/>
      <c r="L504" t="str" s="3">
        <f>HYPERLINK("https://www.getinge.com/de/produkte/applikon-appliflex-st/","/produkte/applikon-appliflex-st/")</f>
        <v>/produkte/applikon-appliflex-st/</v>
      </c>
    </row>
    <row r="505">
      <c r="A505" s="0">
        <v>504</v>
      </c>
      <c r="B505" t="str" s="3">
        <f>HYPERLINK("https://www.getinge.com/int/products/applikon-appliflex-st/","/products/applikon-appliflex-st/")</f>
        <v>/products/applikon-appliflex-st/</v>
      </c>
      <c r="C505" t="inlineStr" s="2">
        <is>
          <t xml:space="preserve">Cell and Gene applications (IPC’s, T&amp;NK Cells, and MSc’s)</t>
        </is>
      </c>
      <c r="D505" t="inlineStr" s="2">
        <is>
          <t xml:space="preserve">Zell- und Genanwendungen (iPS-, NKT- und MSC-Zellen)</t>
        </is>
      </c>
      <c r="E505" t="inlineStr" s="0">
        <is>
          <t xml:space="preserve">Medium</t>
        </is>
      </c>
      <c r="F505" s="4"/>
      <c r="G505" t="inlineStr" s="2">
        <is>
          <t xml:space="preserve">Zelllinienentwicklung, Prozessentwicklung und Scale-up-Studien</t>
        </is>
      </c>
      <c r="H505" t="inlineStr" s="2">
        <is>
          <t xml:space="preserve">Fermentationen (S. cerevisiae, K. lactis, B. subtilis und E. coli)</t>
        </is>
      </c>
      <c r="I505" t="inlineStr" s="2">
        <is>
          <t xml:space="preserve">Zellkulturanwendungen (CHO, HEK, BHK und Sf9)</t>
        </is>
      </c>
      <c r="J505" s="4"/>
      <c r="K505" s="2"/>
      <c r="L505" t="str" s="3">
        <f>HYPERLINK("https://www.getinge.com/de/produkte/applikon-appliflex-st/","/produkte/applikon-appliflex-st/")</f>
        <v>/produkte/applikon-appliflex-st/</v>
      </c>
    </row>
    <row r="506">
      <c r="A506" s="0">
        <v>505</v>
      </c>
      <c r="B506" t="str" s="3">
        <f>HYPERLINK("https://www.getinge.com/int/products/applikon-appliflex-st/","/products/applikon-appliflex-st/")</f>
        <v>/products/applikon-appliflex-st/</v>
      </c>
      <c r="C506" t="inlineStr" s="2">
        <is>
          <t xml:space="preserve">Cell culture applications (CHO, HEK, BHK and Sf9)</t>
        </is>
      </c>
      <c r="D506" t="inlineStr" s="2">
        <is>
          <t xml:space="preserve">Zellkulturanwendungen (CHO, HEK, BHK und Sf9)</t>
        </is>
      </c>
      <c r="E506" t="inlineStr" s="0">
        <is>
          <t xml:space="preserve">High</t>
        </is>
      </c>
      <c r="F506" s="4"/>
      <c r="G506" t="inlineStr" s="2">
        <is>
          <t xml:space="preserve">Zell- und Genanwendungen (iPS-, NKT- und MSC-Zellen)</t>
        </is>
      </c>
      <c r="H506" t="inlineStr" s="2">
        <is>
          <t xml:space="preserve">Zelllinienentwicklung, Prozessentwicklung und Scale-up-Studien</t>
        </is>
      </c>
      <c r="I506" t="inlineStr" s="2">
        <is>
          <t xml:space="preserve">Fermentationen (S. cerevisiae, K. lactis, B. subtilis und E. coli)</t>
        </is>
      </c>
      <c r="J506" s="4"/>
      <c r="K506" s="2"/>
      <c r="L506" t="str" s="3">
        <f>HYPERLINK("https://www.getinge.com/de/produkte/applikon-appliflex-st/","/produkte/applikon-appliflex-st/")</f>
        <v>/produkte/applikon-appliflex-st/</v>
      </c>
    </row>
    <row r="507">
      <c r="A507" s="0">
        <v>506</v>
      </c>
      <c r="B507" t="str" s="3">
        <f>HYPERLINK("https://www.getinge.com/int/products/applikon-appliflex-st/","/products/applikon-appliflex-st/")</f>
        <v>/products/applikon-appliflex-st/</v>
      </c>
      <c r="C507" t="inlineStr" s="2">
        <is>
          <t xml:space="preserve">Fermentations (S. cerevisiae, K. lactis, B. subtilis and E. coli)</t>
        </is>
      </c>
      <c r="D507" t="inlineStr" s="2">
        <is>
          <t xml:space="preserve">Fermentationen (S. cerevisiae, K. lactis, B. subtilis und E. coli)</t>
        </is>
      </c>
      <c r="E507" t="inlineStr" s="0">
        <is>
          <t xml:space="preserve">High</t>
        </is>
      </c>
      <c r="F507" s="4"/>
      <c r="G507" t="inlineStr" s="2">
        <is>
          <t xml:space="preserve">Zelllinienentwicklung, Prozessentwicklung und Scale-up-Studien</t>
        </is>
      </c>
      <c r="H507" t="inlineStr" s="2">
        <is>
          <t xml:space="preserve">Zell- und Genanwendungen (iPS-, NKT- und MSC-Zellen)</t>
        </is>
      </c>
      <c r="I507" t="inlineStr" s="2">
        <is>
          <t xml:space="preserve">Batch-, Fed-Batch- und Perfusions-Prozesse</t>
        </is>
      </c>
      <c r="J507" s="4"/>
      <c r="K507" s="2"/>
      <c r="L507" t="str" s="3">
        <f>HYPERLINK("https://www.getinge.com/de/produkte/applikon-appliflex-st/","/produkte/applikon-appliflex-st/")</f>
        <v>/produkte/applikon-appliflex-st/</v>
      </c>
    </row>
    <row r="508">
      <c r="A508" s="0">
        <v>507</v>
      </c>
      <c r="B508" t="str" s="3">
        <f>HYPERLINK("https://www.getinge.com/int/products/atrium-oasis-dry-suction-water-seal-chest-drain/","/products/atrium-oasis-dry-suction-water-seal-chest-drain/")</f>
        <v>/products/atrium-oasis-dry-suction-water-seal-chest-drain/</v>
      </c>
      <c r="C508" t="inlineStr" s="2">
        <is>
          <t xml:space="preserve">Oasis features fingertip suction adjustment from -10 to -40 cmH20 (pre-set at -20 cmH20)</t>
        </is>
      </c>
      <c r="D508" t="inlineStr" s="2">
        <is>
          <t xml:space="preserve">Einfache Einstellung der Saugstärke von –10 bis –40 cmH₂O über einen leicht zugänglichen Regler (voreingestellt auf –20 cmH₂O)</t>
        </is>
      </c>
      <c r="E508" t="inlineStr" s="0">
        <is>
          <t xml:space="preserve">Medium</t>
        </is>
      </c>
      <c r="F508" s="4"/>
      <c r="G508" t="inlineStr" s="2">
        <is>
          <t xml:space="preserve">Ergonomischer Tragegriff und flexible Aufhängung für eine komfortable Platzierung am Patientenbett</t>
        </is>
      </c>
      <c r="H508" t="inlineStr" s="2">
        <is>
          <t xml:space="preserve">Großflächige, gut lesbare Skalen für eine schnelle und präzise Beurteilung der Drainagemenge</t>
        </is>
      </c>
      <c r="I508" t="inlineStr" s="2">
        <is>
          <t xml:space="preserve">Integrierter Kippschutz zur Reduzierung von Flüssigkeitsübertritten zwischen den Kammern</t>
        </is>
      </c>
      <c r="J508" s="4"/>
      <c r="K508" s="2"/>
      <c r="L508" t="str" s="3">
        <f>HYPERLINK("https://www.getinge.com/de/produkte/atrium-oasis-thoraxdrainage/","/produkte/atrium-oasis-thoraxdrainage/")</f>
        <v>/produkte/atrium-oasis-thoraxdrainage/</v>
      </c>
    </row>
    <row r="509">
      <c r="A509" s="0">
        <v>508</v>
      </c>
      <c r="B509" t="str" s="3">
        <f>HYPERLINK("https://www.getinge.com/int/products/atrium-oasis-dry-suction-water-seal-chest-drain/","/products/atrium-oasis-dry-suction-water-seal-chest-drain/")</f>
        <v>/products/atrium-oasis-dry-suction-water-seal-chest-drain/</v>
      </c>
      <c r="C509" t="inlineStr" s="2">
        <is>
          <t xml:space="preserve">Universal water seal technology with air leak monitor for patient air leak trending</t>
        </is>
      </c>
      <c r="D509" t="inlineStr" s="2">
        <is>
          <t xml:space="preserve">Universelles Wasserschloss mit Luftleckanzeige zur Verlaufskontrolle von Luftleckagen</t>
        </is>
      </c>
      <c r="E509" t="inlineStr" s="0">
        <is>
          <t xml:space="preserve">Medium</t>
        </is>
      </c>
      <c r="F509" s="4"/>
      <c r="G509" t="inlineStr" s="2">
        <is>
          <t xml:space="preserve">Ergonomischer Tragegriff und flexible Aufhängung für eine komfortable Platzierung am Patientenbett</t>
        </is>
      </c>
      <c r="H509" t="inlineStr" s="2">
        <is>
          <t xml:space="preserve">Großflächige, gut lesbare Skalen für eine schnelle und präzise Beurteilung der Drainagemenge</t>
        </is>
      </c>
      <c r="I509" t="inlineStr" s="2">
        <is>
          <t xml:space="preserve">Integrierter Kippschutz zur Reduzierung von Flüssigkeitsübertritten zwischen den Kammern</t>
        </is>
      </c>
      <c r="J509" s="4"/>
      <c r="K509" s="2"/>
      <c r="L509" t="str" s="3">
        <f>HYPERLINK("https://www.getinge.com/de/produkte/atrium-oasis-thoraxdrainage/","/produkte/atrium-oasis-thoraxdrainage/")</f>
        <v>/produkte/atrium-oasis-thoraxdrainage/</v>
      </c>
    </row>
    <row r="510">
      <c r="A510" s="0">
        <v>509</v>
      </c>
      <c r="B510" t="str" s="3">
        <f>HYPERLINK("https://www.getinge.com/int/products/atrium-oasis-dry-suction-water-seal-chest-drain/","/products/atrium-oasis-dry-suction-water-seal-chest-drain/")</f>
        <v>/products/atrium-oasis-dry-suction-water-seal-chest-drain/</v>
      </c>
      <c r="C510" t="inlineStr" s="2">
        <is>
          <t xml:space="preserve">Internal knock-over nozzles to reduce inter-chamber fluid spills</t>
        </is>
      </c>
      <c r="D510" t="inlineStr" s="2">
        <is>
          <t xml:space="preserve">Integrierter Kippschutz zur Reduzierung von Flüssigkeitsübertritten zwischen den Kammern</t>
        </is>
      </c>
      <c r="E510" t="inlineStr" s="0">
        <is>
          <t xml:space="preserve">Medium</t>
        </is>
      </c>
      <c r="F510" s="4"/>
      <c r="G510" t="inlineStr" s="2">
        <is>
          <t xml:space="preserve">Sicherheitsventile zum Schutz vor übermäßigem Unter- und Überdruck</t>
        </is>
      </c>
      <c r="H510" t="inlineStr" s="2">
        <is>
          <t xml:space="preserve">Gut sichtbarer Saugindikator für eine schnelle Funktionskontrolle</t>
        </is>
      </c>
      <c r="I510" t="inlineStr" s="2">
        <is>
          <t xml:space="preserve">Universelles Wasserschloss mit Luftleckanzeige zur Verlaufskontrolle von Luftleckagen</t>
        </is>
      </c>
      <c r="J510" s="4"/>
      <c r="K510" s="2"/>
      <c r="L510" t="str" s="3">
        <f>HYPERLINK("https://www.getinge.com/de/produkte/atrium-oasis-thoraxdrainage/","/produkte/atrium-oasis-thoraxdrainage/")</f>
        <v>/produkte/atrium-oasis-thoraxdrainage/</v>
      </c>
    </row>
    <row r="511">
      <c r="A511" s="0">
        <v>510</v>
      </c>
      <c r="B511" t="str" s="3">
        <f>HYPERLINK("https://www.getinge.com/int/products/atrium-oasis-dry-suction-water-seal-chest-drain/","/products/atrium-oasis-dry-suction-water-seal-chest-drain/")</f>
        <v>/products/atrium-oasis-dry-suction-water-seal-chest-drain/</v>
      </c>
      <c r="C511" t="inlineStr" s="2">
        <is>
          <t xml:space="preserve">Highly visible suction indicator</t>
        </is>
      </c>
      <c r="D511" s="2"/>
      <c r="F511" s="4"/>
      <c r="G511" t="inlineStr" s="2">
        <is>
          <t xml:space="preserve">Abnehmbare Schlauchklemme</t>
        </is>
      </c>
      <c r="H511" t="inlineStr" s="2">
        <is>
          <t xml:space="preserve">Latexfrei hergestellt (enthält keinen Naturkautschuklatex)</t>
        </is>
      </c>
      <c r="I511" t="inlineStr" s="2">
        <is>
          <t xml:space="preserve">Inline-Anschluss mit Luer-Lock-Port zur Flüssigkeitsentnahme</t>
        </is>
      </c>
      <c r="J511" s="4"/>
      <c r="K511" s="2"/>
      <c r="L511" t="str" s="3">
        <f>HYPERLINK("https://www.getinge.com/de/produkte/atrium-oasis-thoraxdrainage/","/produkte/atrium-oasis-thoraxdrainage/")</f>
        <v>/produkte/atrium-oasis-thoraxdrainage/</v>
      </c>
    </row>
    <row r="512">
      <c r="A512" s="0">
        <v>511</v>
      </c>
      <c r="B512" t="str" s="3">
        <f>HYPERLINK("https://www.getinge.com/int/products/atrium-oasis-dry-suction-water-seal-chest-drain/","/products/atrium-oasis-dry-suction-water-seal-chest-drain/")</f>
        <v>/products/atrium-oasis-dry-suction-water-seal-chest-drain/</v>
      </c>
      <c r="C512" t="inlineStr" s="2">
        <is>
          <t xml:space="preserve">In-line connector with Luer lock fluid sampling port</t>
        </is>
      </c>
      <c r="D512" t="inlineStr" s="2">
        <is>
          <t xml:space="preserve">Inline-Anschluss mit Luer-Lock-Port zur Flüssigkeitsentnahme</t>
        </is>
      </c>
      <c r="E512" t="inlineStr" s="0">
        <is>
          <t xml:space="preserve">High</t>
        </is>
      </c>
      <c r="F512" s="4"/>
      <c r="G512" t="inlineStr" s="2">
        <is>
          <t xml:space="preserve">Latexfrei hergestellt (enthält keinen Naturkautschuklatex)</t>
        </is>
      </c>
      <c r="H512" t="inlineStr" s="2">
        <is>
          <t xml:space="preserve">Gut sichtbarer Saugindikator für eine schnelle Funktionskontrolle</t>
        </is>
      </c>
      <c r="I512" t="inlineStr" s="2">
        <is>
          <t xml:space="preserve">Sicherheitsventile zum Schutz vor übermäßigem Unter- und Überdruck</t>
        </is>
      </c>
      <c r="J512" s="4"/>
      <c r="K512" s="2"/>
      <c r="L512" t="str" s="3">
        <f>HYPERLINK("https://www.getinge.com/de/produkte/atrium-oasis-thoraxdrainage/","/produkte/atrium-oasis-thoraxdrainage/")</f>
        <v>/produkte/atrium-oasis-thoraxdrainage/</v>
      </c>
    </row>
    <row r="513">
      <c r="A513" s="0">
        <v>512</v>
      </c>
      <c r="B513" t="str" s="3">
        <f>HYPERLINK("https://www.getinge.com/int/products/atrium-oasis-dry-suction-water-seal-chest-drain/","/products/atrium-oasis-dry-suction-water-seal-chest-drain/")</f>
        <v>/products/atrium-oasis-dry-suction-water-seal-chest-drain/</v>
      </c>
      <c r="C513" t="inlineStr" s="2">
        <is>
          <t xml:space="preserve">Large handle designed for grasping and flexi-hangers allow the drain to be hung bedside from a single point</t>
        </is>
      </c>
      <c r="D513" s="2"/>
      <c r="F513" s="4"/>
      <c r="G513" t="inlineStr" s="2">
        <is>
          <t xml:space="preserve">Ergonomischer Tragegriff und flexible Aufhängung für eine komfortable Platzierung am Patientenbett</t>
        </is>
      </c>
      <c r="H513" t="inlineStr" s="2">
        <is>
          <t xml:space="preserve">Großflächige, gut lesbare Skalen für eine schnelle und präzise Beurteilung der Drainagemenge</t>
        </is>
      </c>
      <c r="I513" t="inlineStr" s="2">
        <is>
          <t xml:space="preserve">Integrierter Kippschutz zur Reduzierung von Flüssigkeitsübertritten zwischen den Kammern</t>
        </is>
      </c>
      <c r="J513" s="4"/>
      <c r="K513" s="2"/>
      <c r="L513" t="str" s="3">
        <f>HYPERLINK("https://www.getinge.com/de/produkte/atrium-oasis-thoraxdrainage/","/produkte/atrium-oasis-thoraxdrainage/")</f>
        <v>/produkte/atrium-oasis-thoraxdrainage/</v>
      </c>
    </row>
    <row r="514">
      <c r="A514" s="0">
        <v>513</v>
      </c>
      <c r="B514" t="str" s="3">
        <f>HYPERLINK("https://www.getinge.com/int/products/atrium-oasis-dry-suction-water-seal-chest-drain/","/products/atrium-oasis-dry-suction-water-seal-chest-drain/")</f>
        <v>/products/atrium-oasis-dry-suction-water-seal-chest-drain/</v>
      </c>
      <c r="C514" t="inlineStr" s="2">
        <is>
          <t xml:space="preserve">High negative and positive pressure relief valves for patient protection</t>
        </is>
      </c>
      <c r="D514" t="inlineStr" s="2">
        <is>
          <t xml:space="preserve">Ergonomischer Tragegriff und flexible Aufhängung für eine komfortable Platzierung am Patientenbett</t>
        </is>
      </c>
      <c r="E514" t="inlineStr" s="0">
        <is>
          <t xml:space="preserve">Low</t>
        </is>
      </c>
      <c r="F514" s="4"/>
      <c r="G514" t="inlineStr" s="2">
        <is>
          <t xml:space="preserve">Universelles Wasserschloss mit Luftleckanzeige zur Verlaufskontrolle von Luftleckagen</t>
        </is>
      </c>
      <c r="H514" t="inlineStr" s="2">
        <is>
          <t xml:space="preserve">Integrierter Kippschutz zur Reduzierung von Flüssigkeitsübertritten zwischen den Kammern</t>
        </is>
      </c>
      <c r="I514" t="inlineStr" s="2">
        <is>
          <t xml:space="preserve">Großflächige, gut lesbare Skalen für eine schnelle und präzise Beurteilung der Drainagemenge</t>
        </is>
      </c>
      <c r="J514" s="4"/>
      <c r="K514" s="2"/>
      <c r="L514" t="str" s="3">
        <f>HYPERLINK("https://www.getinge.com/de/produkte/atrium-oasis-thoraxdrainage/","/produkte/atrium-oasis-thoraxdrainage/")</f>
        <v>/produkte/atrium-oasis-thoraxdrainage/</v>
      </c>
    </row>
    <row r="515">
      <c r="A515" s="0">
        <v>514</v>
      </c>
      <c r="B515" t="str" s="3">
        <f>HYPERLINK("https://www.getinge.com/int/products/atrium-oasis-dry-suction-water-seal-chest-drain/","/products/atrium-oasis-dry-suction-water-seal-chest-drain/")</f>
        <v>/products/atrium-oasis-dry-suction-water-seal-chest-drain/</v>
      </c>
      <c r="C515" t="inlineStr" s="2">
        <is>
          <t xml:space="preserve">Large graphics to facilitate fast, accurate drainage assessment</t>
        </is>
      </c>
      <c r="D515" t="inlineStr" s="2">
        <is>
          <t xml:space="preserve">Großflächige, gut lesbare Skalen für eine schnelle und präzise Beurteilung der Drainagemenge</t>
        </is>
      </c>
      <c r="E515" t="inlineStr" s="0">
        <is>
          <t xml:space="preserve">Low</t>
        </is>
      </c>
      <c r="F515" s="4"/>
      <c r="G515" t="inlineStr" s="2">
        <is>
          <t xml:space="preserve">Universelles Wasserschloss mit Luftleckanzeige zur Verlaufskontrolle von Luftleckagen</t>
        </is>
      </c>
      <c r="H515" t="inlineStr" s="2">
        <is>
          <t xml:space="preserve">Sicherheitsventile zum Schutz vor übermäßigem Unter- und Überdruck</t>
        </is>
      </c>
      <c r="I515" t="inlineStr" s="2">
        <is>
          <t xml:space="preserve">Gut sichtbarer Saugindikator für eine schnelle Funktionskontrolle</t>
        </is>
      </c>
      <c r="J515" s="4"/>
      <c r="K515" s="2"/>
      <c r="L515" t="str" s="3">
        <f>HYPERLINK("https://www.getinge.com/de/produkte/atrium-oasis-thoraxdrainage/","/produkte/atrium-oasis-thoraxdrainage/")</f>
        <v>/produkte/atrium-oasis-thoraxdrainage/</v>
      </c>
    </row>
    <row r="516">
      <c r="A516" s="0">
        <v>515</v>
      </c>
      <c r="B516" t="str" s="3">
        <f>HYPERLINK("https://www.getinge.com/int/products/atrium-oasis-dry-suction-water-seal-chest-drain/","/products/atrium-oasis-dry-suction-water-seal-chest-drain/")</f>
        <v>/products/atrium-oasis-dry-suction-water-seal-chest-drain/</v>
      </c>
      <c r="C516" t="inlineStr" s="2">
        <is>
          <t xml:space="preserve">Not made with natural rubber latex</t>
        </is>
      </c>
      <c r="D516" t="inlineStr" s="2">
        <is>
          <t xml:space="preserve">Latexfrei hergestellt (enthält keinen Naturkautschuklatex)</t>
        </is>
      </c>
      <c r="E516" t="inlineStr" s="0">
        <is>
          <t xml:space="preserve">Medium</t>
        </is>
      </c>
      <c r="F516" s="4"/>
      <c r="G516" t="inlineStr" s="2">
        <is>
          <t xml:space="preserve">Inline-Anschluss mit Luer-Lock-Port zur Flüssigkeitsentnahme</t>
        </is>
      </c>
      <c r="H516" t="inlineStr" s="2">
        <is>
          <t xml:space="preserve">Abnehmbare Schlauchklemme</t>
        </is>
      </c>
      <c r="I516" t="inlineStr" s="2">
        <is>
          <t xml:space="preserve">Gut sichtbarer Saugindikator für eine schnelle Funktionskontrolle</t>
        </is>
      </c>
      <c r="J516" s="4"/>
      <c r="K516" s="2"/>
      <c r="L516" t="str" s="3">
        <f>HYPERLINK("https://www.getinge.com/de/produkte/atrium-oasis-thoraxdrainage/","/produkte/atrium-oasis-thoraxdrainage/")</f>
        <v>/produkte/atrium-oasis-thoraxdrainage/</v>
      </c>
    </row>
    <row r="517">
      <c r="A517" s="0">
        <v>516</v>
      </c>
      <c r="B517" t="str" s="3">
        <f>HYPERLINK("https://www.getinge.com/int/products/cardiohelp-2/","/products/cardiohelp-2/")</f>
        <v>/products/cardiohelp-2/</v>
      </c>
      <c r="C517" t="inlineStr" s="2">
        <is>
          <t xml:space="preserve">Compact, transportable, and equipped with innovative monitoring capabilities, Cardiohelp-i has set the standard in life-saving technology for more than a decade.</t>
        </is>
      </c>
      <c r="D517" t="inlineStr" s="2">
        <is>
          <t xml:space="preserve">Kompakt, transportabel und mit innovativen Überwachungsmöglichkeiten ausgestattet, setzt Cardiohelp-i seit mehr als einem Jahrzehnt den Standard in der lebensrettenden Technologie.</t>
        </is>
      </c>
      <c r="E517" t="inlineStr" s="0">
        <is>
          <t xml:space="preserve">High</t>
        </is>
      </c>
      <c r="F517" s="4"/>
      <c r="G517" t="inlineStr" s="2">
        <is>
          <t xml:space="preserve">Aufbauend auf dieser Tradition der Exzellenz sind wir stolz darauf, die nächste Weiterentwicklung im Bereich ECLS vorstellen zu dürfen: Cardiohelp II.</t>
        </is>
      </c>
      <c r="H517" s="2"/>
      <c r="I517" s="2"/>
      <c r="J517" s="4"/>
      <c r="K517" s="2"/>
      <c r="L517" t="str" s="3">
        <f>HYPERLINK("https://www.getinge.com/de/produkte/cardiohelp-2/","/produkte/cardiohelp-2/")</f>
        <v>/produkte/cardiohelp-2/</v>
      </c>
    </row>
    <row r="518">
      <c r="A518" s="0">
        <v>517</v>
      </c>
      <c r="B518" t="str" s="3">
        <f>HYPERLINK("https://www.getinge.com/int/products/cardiohelp-2/","/products/cardiohelp-2/")</f>
        <v>/products/cardiohelp-2/</v>
      </c>
      <c r="C518" t="inlineStr" s="2">
        <is>
          <t xml:space="preserve">Building on this legacy of excellence, we are proud to introduce the next advance in ECLS: Cardiohelp II.</t>
        </is>
      </c>
      <c r="D518" t="inlineStr" s="2">
        <is>
          <t xml:space="preserve">Aufbauend auf dieser Tradition der Exzellenz sind wir stolz darauf, die nächste Weiterentwicklung im Bereich ECLS vorstellen zu dürfen: Cardiohelp II.</t>
        </is>
      </c>
      <c r="E518" t="inlineStr" s="0">
        <is>
          <t xml:space="preserve">Medium</t>
        </is>
      </c>
      <c r="F518" s="4"/>
      <c r="G518" t="inlineStr" s="2">
        <is>
          <t xml:space="preserve">Excellence. Advanced.</t>
        </is>
      </c>
      <c r="H518" t="inlineStr" s="2">
        <is>
          <t xml:space="preserve">Kompakt, transportabel und mit innovativen Überwachungsmöglichkeiten ausgestattet, setzt Cardiohelp-i seit mehr als einem Jahrzehnt den Standard in der lebensrettenden Technologie.</t>
        </is>
      </c>
      <c r="I518" s="2"/>
      <c r="J518" s="4"/>
      <c r="K518" s="2"/>
      <c r="L518" t="str" s="3">
        <f>HYPERLINK("https://www.getinge.com/de/produkte/cardiohelp-2/","/produkte/cardiohelp-2/")</f>
        <v>/produkte/cardiohelp-2/</v>
      </c>
    </row>
    <row r="519">
      <c r="A519" s="0">
        <v>518</v>
      </c>
      <c r="B519" t="str" s="3">
        <f>HYPERLINK("https://www.getinge.com/int/products/cardiohelp-2/","/products/cardiohelp-2/")</f>
        <v>/products/cardiohelp-2/</v>
      </c>
      <c r="C519" t="inlineStr" s="2">
        <is>
          <t xml:space="preserve">Compact device with significantly reduced weight compared to Cardiohelp-i</t>
        </is>
      </c>
      <c r="D519" t="inlineStr" s="2">
        <is>
          <t xml:space="preserve">Kompaktes Gerät mit deutlich reduziertem Gewicht im Vergleich zu Cardiohelp-i</t>
        </is>
      </c>
      <c r="E519" t="inlineStr" s="0">
        <is>
          <t xml:space="preserve">High</t>
        </is>
      </c>
      <c r="F519" s="4"/>
      <c r="G519" t="inlineStr" s="2">
        <is>
          <t xml:space="preserve">Monitoring-Funktionen mit Echtzeit-Trendanalysen zur Unterstützung fundierter Entscheidungen</t>
        </is>
      </c>
      <c r="H519" t="inlineStr" s="2">
        <is>
          <t xml:space="preserve">Jetzt mit 7-Zoll-Touchscreen und neuer grafischer Benutzeroberfläche mit geführten Arbeitsabläufen und Alarmen</t>
        </is>
      </c>
      <c r="I519" s="2"/>
      <c r="J519" s="4"/>
      <c r="K519" s="2"/>
      <c r="L519" t="str" s="3">
        <f>HYPERLINK("https://www.getinge.com/de/produkte/cardiohelp-2/","/produkte/cardiohelp-2/")</f>
        <v>/produkte/cardiohelp-2/</v>
      </c>
    </row>
    <row r="520">
      <c r="A520" s="0">
        <v>519</v>
      </c>
      <c r="B520" t="str" s="3">
        <f>HYPERLINK("https://www.getinge.com/int/products/cardiohelp-2/","/products/cardiohelp-2/")</f>
        <v>/products/cardiohelp-2/</v>
      </c>
      <c r="C520" t="inlineStr" s="2">
        <is>
          <t xml:space="preserve">Attachable electronic gas blender</t>
        </is>
      </c>
      <c r="D520" t="inlineStr" s="2">
        <is>
          <t xml:space="preserve">Integrierter elektronischer Gasmischer</t>
        </is>
      </c>
      <c r="E520" t="inlineStr" s="0">
        <is>
          <t xml:space="preserve">Medium</t>
        </is>
      </c>
      <c r="F520" s="4"/>
      <c r="G520" t="inlineStr" s="2">
        <is>
          <t xml:space="preserve">Betrieb mit dem Einweg-HLS-Set Advanced</t>
        </is>
      </c>
      <c r="H520" s="2"/>
      <c r="I520" s="2"/>
      <c r="J520" s="4"/>
      <c r="K520" s="2"/>
      <c r="L520" t="str" s="3">
        <f>HYPERLINK("https://www.getinge.com/de/produkte/cardiohelp-2/","/produkte/cardiohelp-2/")</f>
        <v>/produkte/cardiohelp-2/</v>
      </c>
    </row>
    <row r="521">
      <c r="A521" s="0">
        <v>520</v>
      </c>
      <c r="B521" t="str" s="3">
        <f>HYPERLINK("https://www.getinge.com/int/products/cardiohelp-2/","/products/cardiohelp-2/")</f>
        <v>/products/cardiohelp-2/</v>
      </c>
      <c r="C521" t="inlineStr" s="2">
        <is>
          <t xml:space="preserve">Operates with the disposable HLS Set Advanced</t>
        </is>
      </c>
      <c r="D521" t="inlineStr" s="2">
        <is>
          <t xml:space="preserve">Betrieb mit dem Einweg-HLS-Set Advanced</t>
        </is>
      </c>
      <c r="E521" t="inlineStr" s="0">
        <is>
          <t xml:space="preserve">Medium</t>
        </is>
      </c>
      <c r="F521" s="4"/>
      <c r="G521" t="inlineStr" s="2">
        <is>
          <t xml:space="preserve">Integrierter elektronischer Gasmischer</t>
        </is>
      </c>
      <c r="H521" t="inlineStr" s="2">
        <is>
          <t xml:space="preserve">Kompaktes Gerät mit deutlich reduziertem Gewicht im Vergleich zu Cardiohelp-i</t>
        </is>
      </c>
      <c r="I521" s="2"/>
      <c r="J521" s="4"/>
      <c r="K521" s="2"/>
      <c r="L521" t="str" s="3">
        <f>HYPERLINK("https://www.getinge.com/de/produkte/cardiohelp-2/","/produkte/cardiohelp-2/")</f>
        <v>/produkte/cardiohelp-2/</v>
      </c>
    </row>
    <row r="522">
      <c r="A522" s="0">
        <v>521</v>
      </c>
      <c r="B522" t="str" s="3">
        <f>HYPERLINK("https://www.getinge.com/int/products/cardiohelp-2/","/products/cardiohelp-2/")</f>
        <v>/products/cardiohelp-2/</v>
      </c>
      <c r="C522" t="inlineStr" s="2">
        <is>
          <t xml:space="preserve">Now introducing a 7” touchscreen with a new graphical user interface, featuring guided workflows and alarms</t>
        </is>
      </c>
      <c r="D522" t="inlineStr" s="2">
        <is>
          <t xml:space="preserve">Jetzt mit 7-Zoll-Touchscreen und neuer grafischer Benutzeroberfläche mit geführten Arbeitsabläufen und Alarmen</t>
        </is>
      </c>
      <c r="E522" t="inlineStr" s="0">
        <is>
          <t xml:space="preserve">High</t>
        </is>
      </c>
      <c r="F522" s="4"/>
      <c r="G522" s="2"/>
      <c r="H522" s="2"/>
      <c r="I522" s="2"/>
      <c r="J522" s="4"/>
      <c r="K522" s="2"/>
      <c r="L522" t="str" s="3">
        <f>HYPERLINK("https://www.getinge.com/de/produkte/cardiohelp-2/","/produkte/cardiohelp-2/")</f>
        <v>/produkte/cardiohelp-2/</v>
      </c>
    </row>
    <row r="523">
      <c r="A523" s="0">
        <v>522</v>
      </c>
      <c r="B523" t="str" s="3">
        <f>HYPERLINK("https://www.getinge.com/int/products/cardiohelp-2/","/products/cardiohelp-2/")</f>
        <v>/products/cardiohelp-2/</v>
      </c>
      <c r="C523" t="inlineStr" s="2">
        <is>
          <t xml:space="preserve">Monitoring capabilities with real-time trend insights to support informed decision-making</t>
        </is>
      </c>
      <c r="D523" t="inlineStr" s="2">
        <is>
          <t xml:space="preserve">Monitoring-Funktionen mit Echtzeit-Trendanalysen zur Unterstützung fundierter Entscheidungen</t>
        </is>
      </c>
      <c r="E523" t="inlineStr" s="0">
        <is>
          <t xml:space="preserve">Medium</t>
        </is>
      </c>
      <c r="F523" s="4"/>
      <c r="G523" t="inlineStr" s="2">
        <is>
          <t xml:space="preserve">Kompaktes Gerät mit deutlich reduziertem Gewicht im Vergleich zu Cardiohelp-i</t>
        </is>
      </c>
      <c r="H523" t="inlineStr" s="2">
        <is>
          <t xml:space="preserve">Jetzt mit 7-Zoll-Touchscreen und neuer grafischer Benutzeroberfläche mit geführten Arbeitsabläufen und Alarmen</t>
        </is>
      </c>
      <c r="I523" s="2"/>
      <c r="J523" s="4"/>
      <c r="K523" s="2"/>
      <c r="L523" t="str" s="3">
        <f>HYPERLINK("https://www.getinge.com/de/produkte/cardiohelp-2/","/produkte/cardiohelp-2/")</f>
        <v>/produkte/cardiohelp-2/</v>
      </c>
    </row>
    <row r="524">
      <c r="A524" s="0">
        <v>523</v>
      </c>
      <c r="B524" t="str" s="3">
        <f>HYPERLINK("https://www.getinge.com/int/products/cardiohelp-system/","/products/cardiohelp-system/")</f>
        <v>/products/cardiohelp-system/</v>
      </c>
      <c r="C524" t="inlineStr" s="2">
        <is>
          <t xml:space="preserve">Respiratory failure with cardiac impairment</t>
        </is>
      </c>
      <c r="D524" t="inlineStr" s="2">
        <is>
          <t xml:space="preserve">Respiratorische und kardiale Unterstützung</t>
        </is>
      </c>
      <c r="E524" t="inlineStr" s="0">
        <is>
          <t xml:space="preserve">High</t>
        </is>
      </c>
      <c r="F524" s="4"/>
      <c r="G524" t="inlineStr" s="2">
        <is>
          <t xml:space="preserve">· Andere elektive kardiale Interventionen</t>
        </is>
      </c>
      <c r="H524" t="inlineStr" s="2">
        <is>
          <t xml:space="preserve">· Kardiopulmonale Wiederbelebung</t>
        </is>
      </c>
      <c r="I524" t="inlineStr" s="2">
        <is>
          <t xml:space="preserve">· Elektive perkutane Hochrisikokoronarintervention</t>
        </is>
      </c>
      <c r="J524" s="4"/>
      <c r="K524" s="2"/>
      <c r="L524" t="str" s="3">
        <f>HYPERLINK("https://www.getinge.com/de/produkte/cardiohelp-system/","/produkte/cardiohelp-system/")</f>
        <v>/produkte/cardiohelp-system/</v>
      </c>
    </row>
    <row r="525">
      <c r="A525" s="0">
        <v>524</v>
      </c>
      <c r="B525" t="str" s="3">
        <f>HYPERLINK("https://www.getinge.com/int/products/cardiohelp-system/","/products/cardiohelp-system/")</f>
        <v>/products/cardiohelp-system/</v>
      </c>
      <c r="C525" t="inlineStr" s="2">
        <is>
          <t xml:space="preserve">Circulatory failure with respiratory impairment</t>
        </is>
      </c>
      <c r="D525" s="2"/>
      <c r="F525" s="4"/>
      <c r="G525" t="inlineStr" s="2">
        <is>
          <t xml:space="preserve">Respiratorische und kardiale Unterstützung</t>
        </is>
      </c>
      <c r="H525" t="inlineStr" s="2">
        <is>
          <t xml:space="preserve">· Elektive perkutane Hochrisikokoronarintervention</t>
        </is>
      </c>
      <c r="I525" t="inlineStr" s="2">
        <is>
          <t xml:space="preserve">· Lungenversagen mit eingeschränkter Herzleistung</t>
        </is>
      </c>
      <c r="J525" s="4"/>
      <c r="K525" s="2"/>
      <c r="L525" t="str" s="3">
        <f>HYPERLINK("https://www.getinge.com/de/produkte/cardiohelp-system/","/produkte/cardiohelp-system/")</f>
        <v>/produkte/cardiohelp-system/</v>
      </c>
    </row>
    <row r="526">
      <c r="A526" s="0">
        <v>525</v>
      </c>
      <c r="B526" t="str" s="3">
        <f>HYPERLINK("https://www.getinge.com/int/products/cardiohelp-system/","/products/cardiohelp-system/")</f>
        <v>/products/cardiohelp-system/</v>
      </c>
      <c r="C526" t="inlineStr" s="2">
        <is>
          <t xml:space="preserve">Bridge to lung transplant</t>
        </is>
      </c>
      <c r="D526" t="inlineStr" s="2">
        <is>
          <t xml:space="preserve">· Überbrückung bis zur Lungentransplantation</t>
        </is>
      </c>
      <c r="E526" t="inlineStr" s="0">
        <is>
          <t xml:space="preserve">Medium</t>
        </is>
      </c>
      <c r="F526" s="4"/>
      <c r="G526" t="inlineStr" s="2">
        <is>
          <t xml:space="preserve">· Kreislaufversagen mit Lungenversagen</t>
        </is>
      </c>
      <c r="H526" t="inlineStr" s="2">
        <is>
          <t xml:space="preserve">· Überbrückung bis zur Transplantation</t>
        </is>
      </c>
      <c r="I526" t="inlineStr" s="2">
        <is>
          <t xml:space="preserve">· Lungenembolie</t>
        </is>
      </c>
      <c r="J526" s="4"/>
      <c r="K526" s="2"/>
      <c r="L526" t="str" s="3">
        <f>HYPERLINK("https://www.getinge.com/de/produkte/cardiohelp-system/","/produkte/cardiohelp-system/")</f>
        <v>/produkte/cardiohelp-system/</v>
      </c>
    </row>
    <row r="527">
      <c r="A527" s="0">
        <v>526</v>
      </c>
      <c r="B527" t="str" s="3">
        <f>HYPERLINK("https://www.getinge.com/int/products/cardiohelp-system/","/products/cardiohelp-system/")</f>
        <v>/products/cardiohelp-system/</v>
      </c>
      <c r="C527" t="inlineStr" s="2">
        <is>
          <t xml:space="preserve">Elective high risk PCI</t>
        </is>
      </c>
      <c r="D527" s="2"/>
      <c r="F527" s="4"/>
      <c r="G527" t="inlineStr" s="2">
        <is>
          <t xml:space="preserve">Respiratorische Unterstützung</t>
        </is>
      </c>
      <c r="H527" t="inlineStr" s="2">
        <is>
          <t xml:space="preserve">· Andere elektive kardiale Interventionen</t>
        </is>
      </c>
      <c r="I527" t="inlineStr" s="2">
        <is>
          <t xml:space="preserve">Herzkatheterlabor/Hybrid-OP</t>
        </is>
      </c>
      <c r="J527" s="4"/>
      <c r="K527" s="2"/>
      <c r="L527" t="str" s="3">
        <f>HYPERLINK("https://www.getinge.com/de/produkte/cardiohelp-system/","/produkte/cardiohelp-system/")</f>
        <v>/produkte/cardiohelp-system/</v>
      </c>
    </row>
    <row r="528">
      <c r="A528" s="0">
        <v>527</v>
      </c>
      <c r="B528" t="str" s="3">
        <f>HYPERLINK("https://www.getinge.com/int/products/cardiohelp-system/","/products/cardiohelp-system/")</f>
        <v>/products/cardiohelp-system/</v>
      </c>
      <c r="C528" t="inlineStr" s="2">
        <is>
          <t xml:space="preserve">Other elective cardiac interventions</t>
        </is>
      </c>
      <c r="D528" t="inlineStr" s="2">
        <is>
          <t xml:space="preserve">· Andere elektive kardiale Interventionen</t>
        </is>
      </c>
      <c r="E528" t="inlineStr" s="0">
        <is>
          <t xml:space="preserve">High</t>
        </is>
      </c>
      <c r="F528" s="4"/>
      <c r="G528" t="inlineStr" s="2">
        <is>
          <t xml:space="preserve">Cardiac Intervention Set</t>
        </is>
      </c>
      <c r="H528" t="inlineStr" s="2">
        <is>
          <t xml:space="preserve">· Elektive perkutane Hochrisikokoronarintervention</t>
        </is>
      </c>
      <c r="I528" t="inlineStr" s="2">
        <is>
          <t xml:space="preserve">Respiratorische und kardiale Unterstützung</t>
        </is>
      </c>
      <c r="J528" s="4"/>
      <c r="K528" s="2"/>
      <c r="L528" t="str" s="3">
        <f>HYPERLINK("https://www.getinge.com/de/produkte/cardiohelp-system/","/produkte/cardiohelp-system/")</f>
        <v>/produkte/cardiohelp-system/</v>
      </c>
    </row>
    <row r="529">
      <c r="A529" s="0">
        <v>528</v>
      </c>
      <c r="B529" t="str" s="3">
        <f>HYPERLINK("https://www.getinge.com/int/products/cardioroot/","/products/cardioroot/")</f>
        <v>/products/cardioroot/</v>
      </c>
      <c r="C529" t="inlineStr" s="2">
        <is>
          <t xml:space="preserve">Innovative design of Cardioroot mimics the anatomy and blood flow dynamics of the natural sinuses of Valsalva.</t>
        </is>
      </c>
      <c r="D529" t="inlineStr" s="2">
        <is>
          <t xml:space="preserve">Das innovative Design von Cardioroot ahmt die anatomischen Gegebenheiten und die Blutflussdynamik der natürlichen Sinus Valsalvae nach.</t>
        </is>
      </c>
      <c r="E529" t="inlineStr" s="0">
        <is>
          <t xml:space="preserve">High</t>
        </is>
      </c>
      <c r="F529" s="4"/>
      <c r="G529" t="inlineStr" s="2">
        <is>
          <t xml:space="preserve">Das anatomische Design von Cardioroot bietet erstklassige Handhabungseigenschaften.</t>
        </is>
      </c>
      <c r="H529" t="inlineStr" s="2">
        <is>
          <t xml:space="preserve">Wiederherstellung einer nahezu normalen Morphologie der Sinus-Taschen-Einheit, dank anatomischer Rekonstruktion der Sinus Valsalvae[1]</t>
        </is>
      </c>
      <c r="I529" s="2"/>
      <c r="J529" s="4"/>
      <c r="K529" s="2"/>
      <c r="L529" t="str" s="3">
        <f>HYPERLINK("https://www.getinge.com/de/produkte/cardioroot/","/produkte/cardioroot/")</f>
        <v>/produkte/cardioroot/</v>
      </c>
    </row>
    <row r="530">
      <c r="A530" s="0">
        <v>529</v>
      </c>
      <c r="B530" t="str" s="3">
        <f>HYPERLINK("https://www.getinge.com/int/products/cardioroot/","/products/cardioroot/")</f>
        <v>/products/cardioroot/</v>
      </c>
      <c r="C530" t="inlineStr" s="2">
        <is>
          <t xml:space="preserve">Provides optimum flow dynamics[1],[2] Reproducing a near-normal leaflet-sinus unit morphology thanks to anatomical reconstruction of the sinuses[1] Optimize coronary flow dynamics[1]</t>
        </is>
      </c>
      <c r="D530" s="2"/>
      <c r="F530" s="4"/>
      <c r="G530" t="inlineStr" s="2">
        <is>
          <t xml:space="preserve">Bietet optimale Strömungsdynamik[1],[2]</t>
        </is>
      </c>
      <c r="H530" t="inlineStr" s="2">
        <is>
          <t xml:space="preserve">Wiederherstellung einer nahezu normalen Morphologie der Sinus-Taschen-Einheit, dank anatomischer Rekonstruktion der Sinus Valsalvae[1]</t>
        </is>
      </c>
      <c r="I530" t="inlineStr" s="2">
        <is>
          <t xml:space="preserve">Das innovative Design von Cardioroot ahmt die anatomischen Gegebenheiten und die Blutflussdynamik der natürlichen Sinus Valsalvae nach.</t>
        </is>
      </c>
      <c r="J530" s="4"/>
      <c r="K530" s="2"/>
      <c r="L530" t="str" s="3">
        <f>HYPERLINK("https://www.getinge.com/de/produkte/cardioroot/","/produkte/cardioroot/")</f>
        <v>/produkte/cardioroot/</v>
      </c>
    </row>
    <row r="531">
      <c r="A531" s="0">
        <v>530</v>
      </c>
      <c r="B531" t="str" s="3">
        <f>HYPERLINK("https://www.getinge.com/int/products/cardioroot/","/products/cardioroot/")</f>
        <v>/products/cardioroot/</v>
      </c>
      <c r="C531" t="inlineStr" s="2">
        <is>
          <t xml:space="preserve">Designed for premium handling</t>
        </is>
      </c>
      <c r="D531" t="inlineStr" s="2">
        <is>
          <t xml:space="preserve">Entwickelt für erstklassige Handhabung</t>
        </is>
      </c>
      <c r="E531" t="inlineStr" s="0">
        <is>
          <t xml:space="preserve">Medium</t>
        </is>
      </c>
      <c r="F531" s="4"/>
      <c r="G531" t="inlineStr" s="2">
        <is>
          <t xml:space="preserve">Das anatomische Design von Cardioroot bietet erstklassige Handhabungseigenschaften.</t>
        </is>
      </c>
      <c r="H531" t="inlineStr" s="2">
        <is>
          <t xml:space="preserve">Nahtloses, einteiliges Design für einfaches Nähen und Schneiden</t>
        </is>
      </c>
      <c r="I531" t="inlineStr" s="2">
        <is>
          <t xml:space="preserve">Bietet optimale Strömungsdynamik[1],[2]</t>
        </is>
      </c>
      <c r="J531" s="4"/>
      <c r="K531" s="2"/>
      <c r="L531" t="str" s="3">
        <f>HYPERLINK("https://www.getinge.com/de/produkte/cardioroot/","/produkte/cardioroot/")</f>
        <v>/produkte/cardioroot/</v>
      </c>
    </row>
    <row r="532">
      <c r="A532" s="0">
        <v>531</v>
      </c>
      <c r="B532" t="str" s="3">
        <f>HYPERLINK("https://www.getinge.com/int/products/cardioroot/","/products/cardioroot/")</f>
        <v>/products/cardioroot/</v>
      </c>
      <c r="C532" t="inlineStr" s="2">
        <is>
          <t xml:space="preserve">Anatomical design of Cardioroot provides premium handling properties.</t>
        </is>
      </c>
      <c r="D532" t="inlineStr" s="2">
        <is>
          <t xml:space="preserve">Das anatomische Design von Cardioroot bietet erstklassige Handhabungseigenschaften.</t>
        </is>
      </c>
      <c r="E532" t="inlineStr" s="0">
        <is>
          <t xml:space="preserve">High</t>
        </is>
      </c>
      <c r="F532" s="4"/>
      <c r="G532" t="inlineStr" s="2">
        <is>
          <t xml:space="preserve">Nahtloses, einteiliges Design für einfaches Nähen und Schneiden</t>
        </is>
      </c>
      <c r="H532" t="inlineStr" s="2">
        <is>
          <t xml:space="preserve">Das innovative Design von Cardioroot ahmt die anatomischen Gegebenheiten und die Blutflussdynamik der natürlichen Sinus Valsalvae nach.</t>
        </is>
      </c>
      <c r="I532" t="inlineStr" s="2">
        <is>
          <t xml:space="preserve">Präzises Vernähen der Koronararterien durch faltenfreie Ausbuchtung[1]</t>
        </is>
      </c>
      <c r="J532" s="4"/>
      <c r="K532" s="2"/>
      <c r="L532" t="str" s="3">
        <f>HYPERLINK("https://www.getinge.com/de/produkte/cardioroot/","/produkte/cardioroot/")</f>
        <v>/produkte/cardioroot/</v>
      </c>
    </row>
    <row r="533">
      <c r="A533" s="0">
        <v>532</v>
      </c>
      <c r="B533" t="str" s="3">
        <f>HYPERLINK("https://www.getinge.com/int/products/cardiosave-iabp/","/products/cardiosave-iabp/")</f>
        <v>/products/cardiosave-iabp/</v>
      </c>
      <c r="C533" t="inlineStr" s="2">
        <is>
          <t xml:space="preserve">Hemodynamic support you can rely on</t>
        </is>
      </c>
      <c r="D533" s="2"/>
      <c r="F533" s="4"/>
      <c r="G533" t="inlineStr" s="2">
        <is>
          <t xml:space="preserve">Hämodynamische Unterstützung, auf die Sie sich verlassen können</t>
        </is>
      </c>
      <c r="H533" t="inlineStr" s="2">
        <is>
          <t xml:space="preserve">Erweitern Sie Ihr Wissen mit unserem E-Learning- und Schulungsangebot</t>
        </is>
      </c>
      <c r="I533" s="2"/>
      <c r="J533" s="4"/>
      <c r="K533" s="2"/>
      <c r="L533" t="str" s="3">
        <f>HYPERLINK("https://www.getinge.com/de/produkte/cardiosave-iabp/","/produkte/cardiosave-iabp/")</f>
        <v>/produkte/cardiosave-iabp/</v>
      </c>
    </row>
    <row r="534">
      <c r="A534" s="0">
        <v>533</v>
      </c>
      <c r="B534" t="str" s="3">
        <f>HYPERLINK("https://www.getinge.com/int/products/cardiosave-iabp/","/products/cardiosave-iabp/")</f>
        <v>/products/cardiosave-iabp/</v>
      </c>
      <c r="C534" t="inlineStr" s="2">
        <is>
          <t xml:space="preserve">When patients require hemodynamic support, every moment counts. Whether stabilizing post-AMI, managing cardiogenic shock, heart failure or supporting high-risk PCI, Cardiosave empowers your team with precision, speed, and reliability.</t>
        </is>
      </c>
      <c r="D534" t="inlineStr" s="2">
        <is>
          <t xml:space="preserve">Wenn Patienten hämodynamische Unterstützung benötigen, zählt jeder Augenblick. Ob bei der Stabilisierung nach einem akuten Myokardinfarkt, bei der Behandlung eines kardiogenen Schocks oder einer Herzinsuffizienz oder zur Unterstützung einer PCI mit hohem Risiko – Cardiosave unterstützt Ihr Team mit Präzision, Schnelligkeit und Zuverlässigkeit.</t>
        </is>
      </c>
      <c r="E534" t="inlineStr" s="0">
        <is>
          <t xml:space="preserve">Low</t>
        </is>
      </c>
      <c r="F534" s="4"/>
      <c r="G534" t="inlineStr" s="2">
        <is>
          <t xml:space="preserve">*Produktverfügbarkeit, Zubehör, Softwareversionen, Anwendungsgebiete und der regulatorische Status variieren je nach Land. Dieses Material richtet sich ausschließlich an medizinisches Fachpersonal außerhalb der Vereinigten Staaten. Beziehen Sie sich stets auf die lokal zugelassenen Cardiosave-Betriebsanweisungen und wenden Sie sich an Ihre regionale Getinge-Vertretung, um die Verfügbarkeit in Ihrem Markt zu bestätigen.</t>
        </is>
      </c>
      <c r="H534" t="inlineStr" s="2">
        <is>
          <t xml:space="preserve">Wenn Sie weitere Informationen zu unseren Präsenzveranstaltungen oder Remote-Schulungen wünschen, wenden Sie sich an Ihr lokales Vertriebs- und Serviceteam.</t>
        </is>
      </c>
      <c r="I534" s="2"/>
      <c r="J534" s="4"/>
      <c r="K534" s="2"/>
      <c r="L534" t="str" s="3">
        <f>HYPERLINK("https://www.getinge.com/de/produkte/cardiosave-iabp/","/produkte/cardiosave-iabp/")</f>
        <v>/produkte/cardiosave-iabp/</v>
      </c>
    </row>
    <row r="535">
      <c r="A535" s="0">
        <v>534</v>
      </c>
      <c r="B535" t="str" s="3">
        <f>HYPERLINK("https://www.getinge.com/int/products/cardiosave-iabp/","/products/cardiosave-iabp/")</f>
        <v>/products/cardiosave-iabp/</v>
      </c>
      <c r="C535" t="inlineStr" s="2">
        <is>
          <t xml:space="preserve">*Product availability, accessories, software versions, indications for use, and regulatory status vary by country. This material is intended for healthcare professionals outside the United States only. Always refer to the locally approved Cardiosave Operating Instructions and consult your local Getinge representative to confirm availability in your market.</t>
        </is>
      </c>
      <c r="D535" t="inlineStr" s="2">
        <is>
          <t xml:space="preserve">*Produktverfügbarkeit, Zubehör, Softwareversionen, Anwendungsgebiete und der regulatorische Status variieren je nach Land. Dieses Material richtet sich ausschließlich an medizinisches Fachpersonal außerhalb der Vereinigten Staaten. Beziehen Sie sich stets auf die lokal zugelassenen Cardiosave-Betriebsanweisungen und wenden Sie sich an Ihre regionale Getinge-Vertretung, um die Verfügbarkeit in Ihrem Markt zu bestätigen.</t>
        </is>
      </c>
      <c r="E535" t="inlineStr" s="0">
        <is>
          <t xml:space="preserve">Medium</t>
        </is>
      </c>
      <c r="F535" s="4"/>
      <c r="G535" t="inlineStr" s="2">
        <is>
          <t xml:space="preserve">Wenn Patienten hämodynamische Unterstützung benötigen, zählt jeder Augenblick. Ob bei der Stabilisierung nach einem akuten Myokardinfarkt, bei der Behandlung eines kardiogenen Schocks oder einer Herzinsuffizienz oder zur Unterstützung einer PCI mit hohem Risiko – Cardiosave unterstützt Ihr Team mit Präzision, Schnelligkeit und Zuverlässigkeit.</t>
        </is>
      </c>
      <c r="H535" s="2"/>
      <c r="I535" s="2"/>
      <c r="J535" s="4"/>
      <c r="K535" s="2"/>
      <c r="L535" t="str" s="3">
        <f>HYPERLINK("https://www.getinge.com/de/produkte/cardiosave-iabp/","/produkte/cardiosave-iabp/")</f>
        <v>/produkte/cardiosave-iabp/</v>
      </c>
    </row>
    <row r="536">
      <c r="A536" s="0">
        <v>535</v>
      </c>
      <c r="B536" t="str" s="3">
        <f>HYPERLINK("https://www.getinge.com/int/products/cardiosave-iabp/","/products/cardiosave-iabp/")</f>
        <v>/products/cardiosave-iabp/</v>
      </c>
      <c r="C536" t="inlineStr" s="2">
        <is>
          <t xml:space="preserve">Hot swappable batteries</t>
        </is>
      </c>
      <c r="D536" t="inlineStr" s="2">
        <is>
          <t xml:space="preserve">Hot-Swap-fähige Batterien</t>
        </is>
      </c>
      <c r="E536" t="inlineStr" s="0">
        <is>
          <t xml:space="preserve">High</t>
        </is>
      </c>
      <c r="F536" s="4"/>
      <c r="G536" t="inlineStr" s="2">
        <is>
          <t xml:space="preserve">Automatische Kalibrierung</t>
        </is>
      </c>
      <c r="H536" t="inlineStr" s="2">
        <is>
          <t xml:space="preserve">Farbcodierte Anschlüsse</t>
        </is>
      </c>
      <c r="I536" t="inlineStr" s="2">
        <is>
          <t xml:space="preserve">Einziehbares Netzkabel</t>
        </is>
      </c>
      <c r="J536" s="4"/>
      <c r="K536" s="2"/>
      <c r="L536" t="str" s="3">
        <f>HYPERLINK("https://www.getinge.com/de/produkte/cardiosave-iabp/","/produkte/cardiosave-iabp/")</f>
        <v>/produkte/cardiosave-iabp/</v>
      </c>
    </row>
    <row r="537">
      <c r="A537" s="0">
        <v>536</v>
      </c>
      <c r="B537" t="str" s="3">
        <f>HYPERLINK("https://www.getinge.com/int/products/cardiosave-iabp/","/products/cardiosave-iabp/")</f>
        <v>/products/cardiosave-iabp/</v>
      </c>
      <c r="C537" t="inlineStr" s="2">
        <is>
          <t xml:space="preserve">Supports continued operation during AC power loss or transport.</t>
        </is>
      </c>
      <c r="D537" t="inlineStr" s="2">
        <is>
          <t xml:space="preserve">Gewährleistet den kontinuierlichen Betrieb bei Ausfall der Netzstromversorgung oder während des Transports.</t>
        </is>
      </c>
      <c r="E537" t="inlineStr" s="0">
        <is>
          <t xml:space="preserve">Low</t>
        </is>
      </c>
      <c r="F537" s="4"/>
      <c r="G537" t="inlineStr" s="2">
        <is>
          <t xml:space="preserve">Lässt sich in das System einziehen, um Wege frei zu halten und Kabelgewirr im Umfeld des Patientenbetts zu reduzieren.</t>
        </is>
      </c>
      <c r="H537" s="2"/>
      <c r="I537" s="2"/>
      <c r="J537" s="4"/>
      <c r="K537" s="2"/>
      <c r="L537" t="str" s="3">
        <f>HYPERLINK("https://www.getinge.com/de/produkte/cardiosave-iabp/","/produkte/cardiosave-iabp/")</f>
        <v>/produkte/cardiosave-iabp/</v>
      </c>
    </row>
    <row r="538">
      <c r="A538" s="0">
        <v>537</v>
      </c>
      <c r="B538" t="str" s="3">
        <f>HYPERLINK("https://www.getinge.com/int/products/cardiosave-iabp/","/products/cardiosave-iabp/")</f>
        <v>/products/cardiosave-iabp/</v>
      </c>
      <c r="C538" t="inlineStr" s="2">
        <is>
          <t xml:space="preserve">Automatic calibration</t>
        </is>
      </c>
      <c r="D538" t="inlineStr" s="2">
        <is>
          <t xml:space="preserve">Automatische Kalibrierung</t>
        </is>
      </c>
      <c r="E538" t="inlineStr" s="0">
        <is>
          <t xml:space="preserve">High</t>
        </is>
      </c>
      <c r="F538" s="4"/>
      <c r="G538" t="inlineStr" s="2">
        <is>
          <t xml:space="preserve">Hot-Swap-fähige Batterien</t>
        </is>
      </c>
      <c r="H538" t="inlineStr" s="2">
        <is>
          <t xml:space="preserve">Farbcodierte Anschlüsse</t>
        </is>
      </c>
      <c r="I538" t="inlineStr" s="2">
        <is>
          <t xml:space="preserve">Einziehbares Netzkabel</t>
        </is>
      </c>
      <c r="J538" s="4"/>
      <c r="K538" s="2"/>
      <c r="L538" t="str" s="3">
        <f>HYPERLINK("https://www.getinge.com/de/produkte/cardiosave-iabp/","/produkte/cardiosave-iabp/")</f>
        <v>/produkte/cardiosave-iabp/</v>
      </c>
    </row>
    <row r="539">
      <c r="A539" s="0">
        <v>538</v>
      </c>
      <c r="B539" t="str" s="3">
        <f>HYPERLINK("https://www.getinge.com/int/products/cardiosave-iabp/","/products/cardiosave-iabp/")</f>
        <v>/products/cardiosave-iabp/</v>
      </c>
      <c r="C539" t="inlineStr" s="2">
        <is>
          <t xml:space="preserve">When using a Getinge Fiber Optic IAB catheter, Cardiosave automatically calibrates inside the patient on startup and every 2 hours.</t>
        </is>
      </c>
      <c r="D539" s="2"/>
      <c r="F539" s="4"/>
      <c r="G539" t="inlineStr" s="2">
        <is>
          <t xml:space="preserve">Unterstützen die Einrichtung des Systems, indem sie Anwendern helfen, die richtigen Anschlussstellen schnell zu erkennen und die Kabel korrekt zuzuordnen.</t>
        </is>
      </c>
      <c r="H539" t="inlineStr" s="2">
        <is>
          <t xml:space="preserve">Lässt sich in das System einziehen, um Wege frei zu halten und Kabelgewirr im Umfeld des Patientenbetts zu reduzieren.</t>
        </is>
      </c>
      <c r="I539" s="2"/>
      <c r="J539" s="4"/>
      <c r="K539" s="2"/>
      <c r="L539" t="str" s="3">
        <f>HYPERLINK("https://www.getinge.com/de/produkte/cardiosave-iabp/","/produkte/cardiosave-iabp/")</f>
        <v>/produkte/cardiosave-iabp/</v>
      </c>
    </row>
    <row r="540">
      <c r="A540" s="0">
        <v>539</v>
      </c>
      <c r="B540" t="str" s="3">
        <f>HYPERLINK("https://www.getinge.com/int/products/cardiosave-iabp/","/products/cardiosave-iabp/")</f>
        <v>/products/cardiosave-iabp/</v>
      </c>
      <c r="C540" t="inlineStr" s="2">
        <is>
          <t xml:space="preserve">Retractable power cord</t>
        </is>
      </c>
      <c r="D540" s="2"/>
      <c r="F540" s="4"/>
      <c r="G540" t="inlineStr" s="2">
        <is>
          <t xml:space="preserve">Hot-Swap-fähige Batterien</t>
        </is>
      </c>
      <c r="H540" t="inlineStr" s="2">
        <is>
          <t xml:space="preserve">Automatische Kalibrierung</t>
        </is>
      </c>
      <c r="I540" t="inlineStr" s="2">
        <is>
          <t xml:space="preserve">Farbcodierte Anschlüsse</t>
        </is>
      </c>
      <c r="J540" s="4"/>
      <c r="K540" s="2"/>
      <c r="L540" t="str" s="3">
        <f>HYPERLINK("https://www.getinge.com/de/produkte/cardiosave-iabp/","/produkte/cardiosave-iabp/")</f>
        <v>/produkte/cardiosave-iabp/</v>
      </c>
    </row>
    <row r="541">
      <c r="A541" s="0">
        <v>540</v>
      </c>
      <c r="B541" t="str" s="3">
        <f>HYPERLINK("https://www.getinge.com/int/products/cardiosave-iabp/","/products/cardiosave-iabp/")</f>
        <v>/products/cardiosave-iabp/</v>
      </c>
      <c r="C541" t="inlineStr" s="2">
        <is>
          <t xml:space="preserve">Retracts into the system to help keep pathways clear and reduce cord clutter around the bedside.</t>
        </is>
      </c>
      <c r="D541" t="inlineStr" s="2">
        <is>
          <t xml:space="preserve">Lässt sich in das System einziehen, um Wege frei zu halten und Kabelgewirr im Umfeld des Patientenbetts zu reduzieren.</t>
        </is>
      </c>
      <c r="E541" t="inlineStr" s="0">
        <is>
          <t xml:space="preserve">Medium</t>
        </is>
      </c>
      <c r="F541" s="4"/>
      <c r="G541" t="inlineStr" s="2">
        <is>
          <t xml:space="preserve">Gewährleistet den kontinuierlichen Betrieb bei Ausfall der Netzstromversorgung oder während des Transports.</t>
        </is>
      </c>
      <c r="H541" t="inlineStr" s="2">
        <is>
          <t xml:space="preserve">Unterstützen die Einrichtung des Systems, indem sie Anwendern helfen, die richtigen Anschlussstellen schnell zu erkennen und die Kabel korrekt zuzuordnen.</t>
        </is>
      </c>
      <c r="I541" s="2"/>
      <c r="J541" s="4"/>
      <c r="K541" s="2"/>
      <c r="L541" t="str" s="3">
        <f>HYPERLINK("https://www.getinge.com/de/produkte/cardiosave-iabp/","/produkte/cardiosave-iabp/")</f>
        <v>/produkte/cardiosave-iabp/</v>
      </c>
    </row>
    <row r="542">
      <c r="A542" s="0">
        <v>541</v>
      </c>
      <c r="B542" t="str" s="3">
        <f>HYPERLINK("https://www.getinge.com/int/products/cardiosave-iabp/","/products/cardiosave-iabp/")</f>
        <v>/products/cardiosave-iabp/</v>
      </c>
      <c r="C542" t="inlineStr" s="2">
        <is>
          <t xml:space="preserve">Color coded connections</t>
        </is>
      </c>
      <c r="D542" s="2"/>
      <c r="F542" s="4"/>
      <c r="G542" t="inlineStr" s="2">
        <is>
          <t xml:space="preserve">Hot-Swap-fähige Batterien</t>
        </is>
      </c>
      <c r="H542" t="inlineStr" s="2">
        <is>
          <t xml:space="preserve">Automatische Kalibrierung</t>
        </is>
      </c>
      <c r="I542" t="inlineStr" s="2">
        <is>
          <t xml:space="preserve">Farbcodierte Anschlüsse</t>
        </is>
      </c>
      <c r="J542" s="4"/>
      <c r="K542" s="2"/>
      <c r="L542" t="str" s="3">
        <f>HYPERLINK("https://www.getinge.com/de/produkte/cardiosave-iabp/","/produkte/cardiosave-iabp/")</f>
        <v>/produkte/cardiosave-iabp/</v>
      </c>
    </row>
    <row r="543">
      <c r="A543" s="0">
        <v>542</v>
      </c>
      <c r="B543" t="str" s="3">
        <f>HYPERLINK("https://www.getinge.com/int/products/cardiosave-iabp/","/products/cardiosave-iabp/")</f>
        <v>/products/cardiosave-iabp/</v>
      </c>
      <c r="C543" t="inlineStr" s="2">
        <is>
          <t xml:space="preserve">Designed to support setup by helping users identify and align the appropriate cable connection points.</t>
        </is>
      </c>
      <c r="D543" s="2"/>
      <c r="F543" s="4"/>
      <c r="G543" t="inlineStr" s="2">
        <is>
          <t xml:space="preserve">Lässt sich in das System einziehen, um Wege frei zu halten und Kabelgewirr im Umfeld des Patientenbetts zu reduzieren.</t>
        </is>
      </c>
      <c r="H543" t="inlineStr" s="2">
        <is>
          <t xml:space="preserve">Gewährleistet den kontinuierlichen Betrieb bei Ausfall der Netzstromversorgung oder während des Transports.</t>
        </is>
      </c>
      <c r="I543" t="inlineStr" s="2">
        <is>
          <t xml:space="preserve">Unterstützen die Einrichtung des Systems, indem sie Anwendern helfen, die richtigen Anschlussstellen schnell zu erkennen und die Kabel korrekt zuzuordnen.</t>
        </is>
      </c>
      <c r="J543" s="4"/>
      <c r="K543" s="2"/>
      <c r="L543" t="str" s="3">
        <f>HYPERLINK("https://www.getinge.com/de/produkte/cardiosave-iabp/","/produkte/cardiosave-iabp/")</f>
        <v>/produkte/cardiosave-iabp/</v>
      </c>
    </row>
    <row r="544">
      <c r="A544" s="0">
        <v>543</v>
      </c>
      <c r="B544" t="str" s="3">
        <f>HYPERLINK("https://www.getinge.com/int/products/dpte-glove/","/products/dpte-glove/")</f>
        <v>/products/dpte-glove/</v>
      </c>
      <c r="C544" t="inlineStr" s="2">
        <is>
          <t xml:space="preserve">Safe and secure</t>
        </is>
      </c>
      <c r="D544" s="2"/>
      <c r="F544" s="4"/>
      <c r="G544" t="inlineStr" s="2">
        <is>
          <t xml:space="preserve">Anwenderfreundlichkeit</t>
        </is>
      </c>
      <c r="H544" t="inlineStr" s="2">
        <is>
          <t xml:space="preserve">Aseptischer Transfer auf Abruf</t>
        </is>
      </c>
      <c r="I544" t="inlineStr" s="2">
        <is>
          <t xml:space="preserve">Sicheres Anschließen und Trennen</t>
        </is>
      </c>
      <c r="J544" s="4"/>
      <c r="K544" s="2"/>
      <c r="L544" t="str" s="3">
        <f>HYPERLINK("https://www.getinge.com/de/produkte/dpte-handschuh/","/produkte/dpte-handschuh/")</f>
        <v>/produkte/dpte-handschuh/</v>
      </c>
    </row>
    <row r="545">
      <c r="A545" s="0">
        <v>544</v>
      </c>
      <c r="B545" t="str" s="3">
        <f>HYPERLINK("https://www.getinge.com/int/products/dpte-glove/","/products/dpte-glove/")</f>
        <v>/products/dpte-glove/</v>
      </c>
      <c r="C545" t="inlineStr" s="2">
        <is>
          <t xml:space="preserve">The outstanding feature of the DPTE®-Glove system is the Alpha port, which is equipped with a secure locking mechanism that ensures safe and reliable connections and disconnections. This innovative design ensures that the DPTE®-Alpha door will remain leaktight and closed unless the DPTE®-Beta Glove is properly connected.</t>
        </is>
      </c>
      <c r="D545" s="2"/>
      <c r="F545" s="4"/>
      <c r="G545" t="inlineStr" s="2">
        <is>
          <t xml:space="preserve">Der Alpha Port, der sicher an der Abfülllinie oder Isolatorwand montiert werden kann, bietet die gleiche Benutzerfreundlichkeit wie das ursprüngliche DPTE® Rapid Transfer Port System. Er kann an Wänden bis 20 mm Wandstärke montiert werden und hat einen Türöffnungswinkel von 165°. Das DPTE®-Markenzeichen ist von der Außenseite des Isolators aus gut sichtbar, um eine bessere Wiedererkennung zu ermöglichen, und das aktualisierte Dokumentationspaket entspricht umfassend den aktuellen Markterwartungen.</t>
        </is>
      </c>
      <c r="H545" t="inlineStr" s="2">
        <is>
          <t xml:space="preserve">Das herausragende Merkmal des DPTE®-Handschuhsystems ist der Alpha-Port, der mit einem sicheren Verriegelungsmechanismus ausgestattet ist und sichere und zuverlässige Verbindungen und Trennungen gewährleistet. Dieses innovative Design stellt sicher, dass die DPTE®-Alpha-Tür dicht und geschlossen bleibt, wenn der DPTE®-Beta-Handschuh nicht ordnungsgemäß angeschlossen ist. Darüber hinaus kann der DPTE®-Handschuh nur getrennt werden, wenn die Doppeltür fest geschlossen ist, was maximale Sicherheit und Zuverlässigkeit gewährleistet. Das System verfügt außerdem über eine sterile Seite, die auf gründliche Hygieneanforderungen ausgelegt ist – ohne Rückhaltebereiche oder verdeckte Oberflächen, was die Einhaltung höchster Standards bei Sauberkeit und Sicherheit gewährleistet.</t>
        </is>
      </c>
      <c r="I545" s="2"/>
      <c r="J545" s="4"/>
      <c r="K545" s="2"/>
      <c r="L545" t="str" s="3">
        <f>HYPERLINK("https://www.getinge.com/de/produkte/dpte-handschuh/","/produkte/dpte-handschuh/")</f>
        <v>/produkte/dpte-handschuh/</v>
      </c>
    </row>
    <row r="546">
      <c r="A546" s="0">
        <v>545</v>
      </c>
      <c r="B546" t="str" s="3">
        <f>HYPERLINK("https://www.getinge.com/int/products/dpte-glove/","/products/dpte-glove/")</f>
        <v>/products/dpte-glove/</v>
      </c>
      <c r="C546" t="inlineStr" s="2">
        <is>
          <t xml:space="preserve">The DPTE®-Glove system offers the same ease of use as the original DPTE®-Rapid Transfer Port system: line up the Alpha and Beta parts, unlock the door by rotation of 60°, open the DPTE®-Glove Alpha door from the outside using the glove, lock the door after manipulation and disconnect the Beta part.</t>
        </is>
      </c>
      <c r="D546" s="2"/>
      <c r="F546" s="4"/>
      <c r="G546" t="inlineStr" s="2">
        <is>
          <t xml:space="preserve">Der Alpha Port, der sicher an der Abfülllinie oder Isolatorwand montiert werden kann, bietet die gleiche Benutzerfreundlichkeit wie das ursprüngliche DPTE® Rapid Transfer Port System. Er kann an Wänden bis 20 mm Wandstärke montiert werden und hat einen Türöffnungswinkel von 165°. Das DPTE®-Markenzeichen ist von der Außenseite des Isolators aus gut sichtbar, um eine bessere Wiedererkennung zu ermöglichen, und das aktualisierte Dokumentationspaket entspricht umfassend den aktuellen Markterwartungen.</t>
        </is>
      </c>
      <c r="H546" s="2"/>
      <c r="I546" s="2"/>
      <c r="J546" s="4"/>
      <c r="K546" s="2"/>
      <c r="L546" t="str" s="3">
        <f>HYPERLINK("https://www.getinge.com/de/produkte/dpte-handschuh/","/produkte/dpte-handschuh/")</f>
        <v>/produkte/dpte-handschuh/</v>
      </c>
    </row>
    <row r="547">
      <c r="A547" s="0">
        <v>546</v>
      </c>
      <c r="B547" t="str" s="3">
        <f>HYPERLINK("https://www.getinge.com/int/products/dpte-glove/","/products/dpte-glove/")</f>
        <v>/products/dpte-glove/</v>
      </c>
      <c r="C547" t="inlineStr" s="2">
        <is>
          <t xml:space="preserve">Flexible and efficient</t>
        </is>
      </c>
      <c r="D547" s="2"/>
      <c r="F547" s="4"/>
      <c r="G547" t="inlineStr" s="2">
        <is>
          <t xml:space="preserve">Aseptischer Transfer auf Abruf</t>
        </is>
      </c>
      <c r="H547" t="inlineStr" s="2">
        <is>
          <t xml:space="preserve">Anwenderfreundlichkeit</t>
        </is>
      </c>
      <c r="I547" t="inlineStr" s="2">
        <is>
          <t xml:space="preserve">Sicheres Anschließen und Trennen</t>
        </is>
      </c>
      <c r="J547" s="4"/>
      <c r="K547" s="2"/>
      <c r="L547" t="str" s="3">
        <f>HYPERLINK("https://www.getinge.com/de/produkte/dpte-handschuh/","/produkte/dpte-handschuh/")</f>
        <v>/produkte/dpte-handschuh/</v>
      </c>
    </row>
    <row r="548">
      <c r="A548" s="0">
        <v>547</v>
      </c>
      <c r="B548" t="str" s="3">
        <f>HYPERLINK("https://www.getinge.com/int/products/getinge-aquadis-endo-110/","/products/getinge-aquadis-endo-110/")</f>
        <v>/products/getinge-aquadis-endo-110/</v>
      </c>
      <c r="C548" t="inlineStr" s="2">
        <is>
          <t xml:space="preserve">Pass-through configuration</t>
        </is>
      </c>
      <c r="D548" t="inlineStr" s="2">
        <is>
          <t xml:space="preserve">Pass-Through-Konfiguration</t>
        </is>
      </c>
      <c r="E548" t="inlineStr" s="0">
        <is>
          <t xml:space="preserve">High</t>
        </is>
      </c>
      <c r="F548" s="4"/>
      <c r="G548" t="inlineStr" s="2">
        <is>
          <t xml:space="preserve">Einzeltür-Ausführung</t>
        </is>
      </c>
      <c r="H548" s="2"/>
      <c r="I548" s="2"/>
      <c r="J548" s="4"/>
      <c r="K548" s="2"/>
      <c r="L548" t="str" s="3">
        <f>HYPERLINK("https://www.getinge.com/de/produkte/getinge-aquadis-endo-110/","/produkte/getinge-aquadis-endo-110/")</f>
        <v>/produkte/getinge-aquadis-endo-110/</v>
      </c>
    </row>
    <row r="549">
      <c r="A549" s="0">
        <v>548</v>
      </c>
      <c r="B549" t="str" s="3">
        <f>HYPERLINK("https://www.getinge.com/int/products/getinge-aquadis-endo-110/","/products/getinge-aquadis-endo-110/")</f>
        <v>/products/getinge-aquadis-endo-110/</v>
      </c>
      <c r="C549" t="inlineStr" s="2">
        <is>
          <t xml:space="preserve">Single-door configuration</t>
        </is>
      </c>
      <c r="D549" s="2"/>
      <c r="F549" s="4"/>
      <c r="G549" t="inlineStr" s="2">
        <is>
          <t xml:space="preserve">Pass-Through-Konfiguration</t>
        </is>
      </c>
      <c r="H549" t="inlineStr" s="2">
        <is>
          <t xml:space="preserve">Einzeltür-Ausführung</t>
        </is>
      </c>
      <c r="I549" s="2"/>
      <c r="J549" s="4"/>
      <c r="K549" s="2"/>
      <c r="L549" t="str" s="3">
        <f>HYPERLINK("https://www.getinge.com/de/produkte/getinge-aquadis-endo-110/","/produkte/getinge-aquadis-endo-110/")</f>
        <v>/produkte/getinge-aquadis-endo-110/</v>
      </c>
    </row>
    <row r="550">
      <c r="A550" s="0">
        <v>549</v>
      </c>
      <c r="B550" t="str" s="3">
        <f>HYPERLINK("https://www.getinge.com/int/products/getinge-aquadis-endo-110/","/products/getinge-aquadis-endo-110/")</f>
        <v>/products/getinge-aquadis-endo-110/</v>
      </c>
      <c r="C550" t="inlineStr" s="2">
        <is>
          <t xml:space="preserve">Resource efficient</t>
        </is>
      </c>
      <c r="D550" s="2"/>
      <c r="F550" s="4"/>
      <c r="G550" t="inlineStr" s="2">
        <is>
          <t xml:space="preserve">Ressourcenschonend</t>
        </is>
      </c>
      <c r="H550" t="inlineStr" s="2">
        <is>
          <t xml:space="preserve">Wirklich vernetzt</t>
        </is>
      </c>
      <c r="I550" t="inlineStr" s="2">
        <is>
          <t xml:space="preserve">* Im Vergleich zum ED Flow</t>
        </is>
      </c>
      <c r="J550" s="4"/>
      <c r="K550" s="2"/>
      <c r="L550" t="str" s="3">
        <f>HYPERLINK("https://www.getinge.com/de/produkte/getinge-aquadis-endo-110/","/produkte/getinge-aquadis-endo-110/")</f>
        <v>/produkte/getinge-aquadis-endo-110/</v>
      </c>
    </row>
    <row r="551">
      <c r="A551" s="0">
        <v>550</v>
      </c>
      <c r="B551" t="str" s="3">
        <f>HYPERLINK("https://www.getinge.com/int/products/getinge-aquadis-endo-110/","/products/getinge-aquadis-endo-110/")</f>
        <v>/products/getinge-aquadis-endo-110/</v>
      </c>
      <c r="C551" t="inlineStr" s="2">
        <is>
          <t xml:space="preserve">Low water usage coupled with specialized chemistry allows for minimal rinse phases to save water and reduce energy consumption. Improved dosing system reduces the discarded chemistry amount for more cost effective operations*. * Compared to the ED Flow</t>
        </is>
      </c>
      <c r="D551" t="inlineStr" s="2">
        <is>
          <t xml:space="preserve">Ein geringer Wasserverbrauch in Kombination mit speziell abgestimmten Chemikalien ermöglicht kurze Spülphasen. Dadurch werden Wasser eingespart und der Energieverbrauch reduziert. Ein optimiertes Dosiersystem verringert zudem die Menge der zu entsorgenden Chemikalien und unterstützt einen kosteneffizienten Betrieb*.</t>
        </is>
      </c>
      <c r="E551" t="inlineStr" s="0">
        <is>
          <t xml:space="preserve">Medium</t>
        </is>
      </c>
      <c r="F551" s="4"/>
      <c r="G551" t="inlineStr" s="2">
        <is>
          <t xml:space="preserve">Ein geschlossenes Dosiersystem für Desinfektionsmittel sowie eine ergonomische Be- und Entladung gewährleisten einen sicheren und benutzerfreundlichen Betrieb. Die kombinierten Chemikalien ermöglichen kürzere Prozesse, einen geringeren Wasserverbrauch, reduzieren den Aufwand für Behälter und sind mit allen gängigen Marken flexibler Endoskope kompatibel.</t>
        </is>
      </c>
      <c r="H551" t="inlineStr" s="2">
        <is>
          <t xml:space="preserve">Die nahtlose Anbindung an FleetView für das Geräte-Lebenszyklusmanagement und T-DOC für das Management steriler Verbrauchsmaterialien ermöglicht eine Echtzeit-Anbindung der Geräte sowie die umfassende Verwaltung der Arbeitsabläufe bei der Reinigung und Aufbereitung von Endoskopen.</t>
        </is>
      </c>
      <c r="I551" t="inlineStr" s="2">
        <is>
          <t xml:space="preserve">Es entspricht vollständig den Standards EN ISO 15883, Teile 1, 4 und 5, und ist für alle gängigen Typen von Endoskopen und -marken validiert. In Kombination mit den speziell von Getinge entwickelten E-RDG-Reinigungsmitteln gewährleistet es eine sichere, wirksame und zuverlässige Reinigung und Aufbereitung.</t>
        </is>
      </c>
      <c r="J551" s="4"/>
      <c r="K551" s="2"/>
      <c r="L551" t="str" s="3">
        <f>HYPERLINK("https://www.getinge.com/de/produkte/getinge-aquadis-endo-110/","/produkte/getinge-aquadis-endo-110/")</f>
        <v>/produkte/getinge-aquadis-endo-110/</v>
      </c>
    </row>
    <row r="552">
      <c r="A552" s="0">
        <v>551</v>
      </c>
      <c r="B552" t="str" s="3">
        <f>HYPERLINK("https://www.getinge.com/int/products/getinge-aquadis-endo-110/","/products/getinge-aquadis-endo-110/")</f>
        <v>/products/getinge-aquadis-endo-110/</v>
      </c>
      <c r="C552" t="inlineStr" s="2">
        <is>
          <t xml:space="preserve">Truly connected</t>
        </is>
      </c>
      <c r="D552" s="2"/>
      <c r="F552" s="4"/>
      <c r="G552" t="inlineStr" s="2">
        <is>
          <t xml:space="preserve">Ressourcenschonend</t>
        </is>
      </c>
      <c r="H552" t="inlineStr" s="2">
        <is>
          <t xml:space="preserve">Wirklich vernetzt</t>
        </is>
      </c>
      <c r="I552" t="inlineStr" s="2">
        <is>
          <t xml:space="preserve">* Im Vergleich zum ED Flow</t>
        </is>
      </c>
      <c r="J552" s="4"/>
      <c r="K552" s="2"/>
      <c r="L552" t="str" s="3">
        <f>HYPERLINK("https://www.getinge.com/de/produkte/getinge-aquadis-endo-110/","/produkte/getinge-aquadis-endo-110/")</f>
        <v>/produkte/getinge-aquadis-endo-110/</v>
      </c>
    </row>
    <row r="553">
      <c r="A553" s="0">
        <v>552</v>
      </c>
      <c r="B553" t="str" s="3">
        <f>HYPERLINK("https://www.getinge.com/int/products/getinge-aquadis-endo-110/","/products/getinge-aquadis-endo-110/")</f>
        <v>/products/getinge-aquadis-endo-110/</v>
      </c>
      <c r="C553" t="inlineStr" s="2">
        <is>
          <t xml:space="preserve">Designed to seamlessly connect with FleetView device lifecycle management and T-DOC sterile supply management solutions enabling real-time equipment connectivity, and comprehensive management of your endoscope reprocessing workflow.</t>
        </is>
      </c>
      <c r="D553" t="inlineStr" s="2">
        <is>
          <t xml:space="preserve">Die nahtlose Anbindung an FleetView für das Geräte-Lebenszyklusmanagement und T-DOC für das Management steriler Verbrauchsmaterialien ermöglicht eine Echtzeit-Anbindung der Geräte sowie die umfassende Verwaltung der Arbeitsabläufe bei der Reinigung und Aufbereitung von Endoskopen.</t>
        </is>
      </c>
      <c r="E553" t="inlineStr" s="0">
        <is>
          <t xml:space="preserve">Medium</t>
        </is>
      </c>
      <c r="F553" s="4"/>
      <c r="G553" t="inlineStr" s="2">
        <is>
          <t xml:space="preserve">Ein geschlossenes Dosiersystem für Desinfektionsmittel sowie eine ergonomische Be- und Entladung gewährleisten einen sicheren und benutzerfreundlichen Betrieb. Die kombinierten Chemikalien ermöglichen kürzere Prozesse, einen geringeren Wasserverbrauch, reduzieren den Aufwand für Behälter und sind mit allen gängigen Marken flexibler Endoskope kompatibel.</t>
        </is>
      </c>
      <c r="H553" t="inlineStr" s="2">
        <is>
          <t xml:space="preserve">Ein geringer Wasserverbrauch in Kombination mit speziell abgestimmten Chemikalien ermöglicht kurze Spülphasen. Dadurch werden Wasser eingespart und der Energieverbrauch reduziert. Ein optimiertes Dosiersystem verringert zudem die Menge der zu entsorgenden Chemikalien und unterstützt einen kosteneffizienten Betrieb*.</t>
        </is>
      </c>
      <c r="I553" t="inlineStr" s="2">
        <is>
          <t xml:space="preserve">Es entspricht vollständig den Standards EN ISO 15883, Teile 1, 4 und 5, und ist für alle gängigen Typen von Endoskopen und -marken validiert. In Kombination mit den speziell von Getinge entwickelten E-RDG-Reinigungsmitteln gewährleistet es eine sichere, wirksame und zuverlässige Reinigung und Aufbereitung.</t>
        </is>
      </c>
      <c r="J553" s="4"/>
      <c r="K553" s="2"/>
      <c r="L553" t="str" s="3">
        <f>HYPERLINK("https://www.getinge.com/de/produkte/getinge-aquadis-endo-110/","/produkte/getinge-aquadis-endo-110/")</f>
        <v>/produkte/getinge-aquadis-endo-110/</v>
      </c>
    </row>
    <row r="554">
      <c r="A554" s="0">
        <v>553</v>
      </c>
      <c r="B554" t="str" s="3">
        <f>HYPERLINK("https://www.getinge.com/int/products/getinge-aquadis-endo-110/","/products/getinge-aquadis-endo-110/")</f>
        <v>/products/getinge-aquadis-endo-110/</v>
      </c>
      <c r="C554" t="inlineStr" s="2">
        <is>
          <t xml:space="preserve">Safe for operators</t>
        </is>
      </c>
      <c r="D554" s="2"/>
      <c r="F554" s="4"/>
      <c r="G554" t="inlineStr" s="2">
        <is>
          <t xml:space="preserve">Ressourcenschonend</t>
        </is>
      </c>
      <c r="H554" t="inlineStr" s="2">
        <is>
          <t xml:space="preserve">Wirklich vernetzt</t>
        </is>
      </c>
      <c r="I554" t="inlineStr" s="2">
        <is>
          <t xml:space="preserve">* Im Vergleich zum ED Flow</t>
        </is>
      </c>
      <c r="J554" s="4"/>
      <c r="K554" s="2"/>
      <c r="L554" t="str" s="3">
        <f>HYPERLINK("https://www.getinge.com/de/produkte/getinge-aquadis-endo-110/","/produkte/getinge-aquadis-endo-110/")</f>
        <v>/produkte/getinge-aquadis-endo-110/</v>
      </c>
    </row>
    <row r="555">
      <c r="A555" s="0">
        <v>554</v>
      </c>
      <c r="B555" t="str" s="3">
        <f>HYPERLINK("https://www.getinge.com/int/products/getinge-aquadis-endo-110/","/products/getinge-aquadis-endo-110/")</f>
        <v>/products/getinge-aquadis-endo-110/</v>
      </c>
      <c r="C555" t="inlineStr" s="2">
        <is>
          <t xml:space="preserve">Closed disinfectant dosing system and ergonomic loading and unloading ensure safe and user-friendly operation. The combined chemistries enable shorter cycles, reduced water consumption, minimize container logistics and are compatible with all major brands of flexible endoscopes.</t>
        </is>
      </c>
      <c r="D555" t="inlineStr" s="2">
        <is>
          <t xml:space="preserve">Ein geschlossenes Dosiersystem für Desinfektionsmittel sowie eine ergonomische Be- und Entladung gewährleisten einen sicheren und benutzerfreundlichen Betrieb. Die kombinierten Chemikalien ermöglichen kürzere Prozesse, einen geringeren Wasserverbrauch, reduzieren den Aufwand für Behälter und sind mit allen gängigen Marken flexibler Endoskope kompatibel.</t>
        </is>
      </c>
      <c r="E555" t="inlineStr" s="0">
        <is>
          <t xml:space="preserve">Medium</t>
        </is>
      </c>
      <c r="F555" s="4"/>
      <c r="G555" t="inlineStr" s="2">
        <is>
          <t xml:space="preserve">Ein geringer Wasserverbrauch in Kombination mit speziell abgestimmten Chemikalien ermöglicht kurze Spülphasen. Dadurch werden Wasser eingespart und der Energieverbrauch reduziert. Ein optimiertes Dosiersystem verringert zudem die Menge der zu entsorgenden Chemikalien und unterstützt einen kosteneffizienten Betrieb*.</t>
        </is>
      </c>
      <c r="H555" t="inlineStr" s="2">
        <is>
          <t xml:space="preserve">Die nahtlose Anbindung an FleetView für das Geräte-Lebenszyklusmanagement und T-DOC für das Management steriler Verbrauchsmaterialien ermöglicht eine Echtzeit-Anbindung der Geräte sowie die umfassende Verwaltung der Arbeitsabläufe bei der Reinigung und Aufbereitung von Endoskopen.</t>
        </is>
      </c>
      <c r="I555" t="inlineStr" s="2">
        <is>
          <t xml:space="preserve">Es entspricht vollständig den Standards EN ISO 15883, Teile 1, 4 und 5, und ist für alle gängigen Typen von Endoskopen und -marken validiert. In Kombination mit den speziell von Getinge entwickelten E-RDG-Reinigungsmitteln gewährleistet es eine sichere, wirksame und zuverlässige Reinigung und Aufbereitung.</t>
        </is>
      </c>
      <c r="J555" s="4"/>
      <c r="K555" s="2"/>
      <c r="L555" t="str" s="3">
        <f>HYPERLINK("https://www.getinge.com/de/produkte/getinge-aquadis-endo-110/","/produkte/getinge-aquadis-endo-110/")</f>
        <v>/produkte/getinge-aquadis-endo-110/</v>
      </c>
    </row>
    <row r="556">
      <c r="A556" s="0">
        <v>555</v>
      </c>
      <c r="B556" t="str" s="3">
        <f>HYPERLINK("https://www.getinge.com/int/products/getinge-aquadis-endo-110/","/products/getinge-aquadis-endo-110/")</f>
        <v>/products/getinge-aquadis-endo-110/</v>
      </c>
      <c r="C556" t="inlineStr" s="2">
        <is>
          <t xml:space="preserve">Proven compatibility</t>
        </is>
      </c>
      <c r="D556" t="inlineStr" s="2">
        <is>
          <t xml:space="preserve">Nachgewiesene Kompatibilität</t>
        </is>
      </c>
      <c r="E556" t="inlineStr" s="0">
        <is>
          <t xml:space="preserve">High</t>
        </is>
      </c>
      <c r="F556" s="4"/>
      <c r="G556" t="inlineStr" s="2">
        <is>
          <t xml:space="preserve">* Im Vergleich zum ED Flow</t>
        </is>
      </c>
      <c r="H556" t="inlineStr" s="2">
        <is>
          <t xml:space="preserve">Ressourcenschonend</t>
        </is>
      </c>
      <c r="I556" t="inlineStr" s="2">
        <is>
          <t xml:space="preserve">Wirklich vernetzt</t>
        </is>
      </c>
      <c r="J556" s="4"/>
      <c r="K556" s="2"/>
      <c r="L556" t="str" s="3">
        <f>HYPERLINK("https://www.getinge.com/de/produkte/getinge-aquadis-endo-110/","/produkte/getinge-aquadis-endo-110/")</f>
        <v>/produkte/getinge-aquadis-endo-110/</v>
      </c>
    </row>
    <row r="557">
      <c r="A557" s="0">
        <v>556</v>
      </c>
      <c r="B557" t="str" s="3">
        <f>HYPERLINK("https://www.getinge.com/int/products/getinge-aquadis-endo-110/","/products/getinge-aquadis-endo-110/")</f>
        <v>/products/getinge-aquadis-endo-110/</v>
      </c>
      <c r="C557" t="inlineStr" s="2">
        <is>
          <t xml:space="preserve">Fully compliant with EN ISO 15883 parts 1, 4 and 5 standards and validated for all major endoscope types and brands. Paired with Getinge’s specially formulated AER chemistries it ensures safe, effective and reliable reprocessing.</t>
        </is>
      </c>
      <c r="D557" t="inlineStr" s="2">
        <is>
          <t xml:space="preserve">Es entspricht vollständig den Standards EN ISO 15883, Teile 1, 4 und 5, und ist für alle gängigen Typen von Endoskopen und -marken validiert. In Kombination mit den speziell von Getinge entwickelten E-RDG-Reinigungsmitteln gewährleistet es eine sichere, wirksame und zuverlässige Reinigung und Aufbereitung.</t>
        </is>
      </c>
      <c r="E557" t="inlineStr" s="0">
        <is>
          <t xml:space="preserve">High</t>
        </is>
      </c>
      <c r="F557" s="4"/>
      <c r="G557" t="inlineStr" s="2">
        <is>
          <t xml:space="preserve">Die nahtlose Anbindung an FleetView für das Geräte-Lebenszyklusmanagement und T-DOC für das Management steriler Verbrauchsmaterialien ermöglicht eine Echtzeit-Anbindung der Geräte sowie die umfassende Verwaltung der Arbeitsabläufe bei der Reinigung und Aufbereitung von Endoskopen.</t>
        </is>
      </c>
      <c r="H557" t="inlineStr" s="2">
        <is>
          <t xml:space="preserve">Ein geringer Wasserverbrauch in Kombination mit speziell abgestimmten Chemikalien ermöglicht kurze Spülphasen. Dadurch werden Wasser eingespart und der Energieverbrauch reduziert. Ein optimiertes Dosiersystem verringert zudem die Menge der zu entsorgenden Chemikalien und unterstützt einen kosteneffizienten Betrieb*.</t>
        </is>
      </c>
      <c r="I557" t="inlineStr" s="2">
        <is>
          <t xml:space="preserve">Ein geschlossenes Dosiersystem für Desinfektionsmittel sowie eine ergonomische Be- und Entladung gewährleisten einen sicheren und benutzerfreundlichen Betrieb. Die kombinierten Chemikalien ermöglichen kürzere Prozesse, einen geringeren Wasserverbrauch, reduzieren den Aufwand für Behälter und sind mit allen gängigen Marken flexibler Endoskope kompatibel.</t>
        </is>
      </c>
      <c r="J557" s="4"/>
      <c r="K557" s="2"/>
      <c r="L557" t="str" s="3">
        <f>HYPERLINK("https://www.getinge.com/de/produkte/getinge-aquadis-endo-110/","/produkte/getinge-aquadis-endo-110/")</f>
        <v>/produkte/getinge-aquadis-endo-110/</v>
      </c>
    </row>
    <row r="558">
      <c r="A558" s="0">
        <v>557</v>
      </c>
      <c r="B558" t="str" s="3">
        <f>HYPERLINK("https://www.getinge.com/int/products/getinge-operating-tables-accessories/","/products/getinge-operating-tables-accessories/")</f>
        <v>/products/getinge-operating-tables-accessories/</v>
      </c>
      <c r="C558" t="inlineStr" s="2">
        <is>
          <t xml:space="preserve">Getinge creates products in close collaboration with doctors and hospitals. This helps to optimize workflows, facilitate the work of the OR team, and improve the success of treatments for patients. Getinge offers a comprehensive range of accessories for the best possible patient positioning. There are a variety of suitable surgical tables accessories for different needs and types of surgery, be it infusion stands, or metal-free and radiolucent multi-purpose plates.</t>
        </is>
      </c>
      <c r="D558" t="inlineStr" s="2">
        <is>
          <t xml:space="preserve">Die Produkte von Getinge werden in enger Zusammenarbeit mit Ärzten und Krankenhäusern entwickelt. So können Workflows optimiert, die Arbeit für das OP-Team erleichtert und der Behandlungserfolg für die Patientinnen und Patienten verbessert werden. Getinge bietet ein umfangreiches Zubehörsortiment für die optimale Patientenlagerung. Das Angebot umfasst passendes OP-Tisch-Zubehör für unterschiedliche Anforderungen und chirurgische Eingriffe und reicht von Infusionshaltern bis hin zu metallfreien und durchleuchtbaren Ansteckplatten.</t>
        </is>
      </c>
      <c r="E558" t="inlineStr" s="0">
        <is>
          <t xml:space="preserve">Medium</t>
        </is>
      </c>
      <c r="F558" s="4"/>
      <c r="G558" s="2"/>
      <c r="H558" s="2"/>
      <c r="I558" s="2"/>
      <c r="J558" s="4"/>
      <c r="K558" s="2"/>
      <c r="L558" t="str" s="3">
        <f>HYPERLINK("https://www.getinge.com/de/produkte/getinge-op-tisch-zubehoer/","/produkte/getinge-op-tisch-zubehoer/")</f>
        <v>/produkte/getinge-op-tisch-zubehoer/</v>
      </c>
    </row>
    <row r="559">
      <c r="A559" s="0">
        <v>558</v>
      </c>
      <c r="B559" t="str" s="3">
        <f>HYPERLINK("https://www.getinge.com/int/products/getinge-operating-tables-accessories/","/products/getinge-operating-tables-accessories/")</f>
        <v>/products/getinge-operating-tables-accessories/</v>
      </c>
      <c r="C559" t="inlineStr" s="2">
        <is>
          <t xml:space="preserve">All accessories ensure safe and comfortable patient positioning and ergonomic working conditions for the surgical team.</t>
        </is>
      </c>
      <c r="D559" s="2"/>
      <c r="F559" s="4"/>
      <c r="G559" t="inlineStr" s="2">
        <is>
          <t xml:space="preserve">Die Produkte von Getinge werden in enger Zusammenarbeit mit Ärzten und Krankenhäusern entwickelt. So können Workflows optimiert, die Arbeit für das OP-Team erleichtert und der Behandlungserfolg für die Patientinnen und Patienten verbessert werden. Getinge bietet ein umfangreiches Zubehörsortiment für die optimale Patientenlagerung. Das Angebot umfasst passendes OP-Tisch-Zubehör für unterschiedliche Anforderungen und chirurgische Eingriffe und reicht von Infusionshaltern bis hin zu metallfreien und durchleuchtbaren Ansteckplatten.</t>
        </is>
      </c>
      <c r="H559" s="2"/>
      <c r="I559" s="2"/>
      <c r="J559" s="4"/>
      <c r="K559" s="2"/>
      <c r="L559" t="str" s="3">
        <f>HYPERLINK("https://www.getinge.com/de/produkte/getinge-op-tisch-zubehoer/","/produkte/getinge-op-tisch-zubehoer/")</f>
        <v>/produkte/getinge-op-tisch-zubehoer/</v>
      </c>
    </row>
    <row r="560">
      <c r="A560" s="0">
        <v>559</v>
      </c>
      <c r="B560" t="str" s="3">
        <f>HYPERLINK("https://www.getinge.com/int/products/getinge-solsus-66/","/products/getinge-solsus-66/")</f>
        <v>/products/getinge-solsus-66/</v>
      </c>
      <c r="C560" t="inlineStr" s="2">
        <is>
          <t xml:space="preserve">Solsus 66 is a steam sterilizer, combining capacity, footprint and cost-efficiency sterilization.</t>
        </is>
      </c>
      <c r="D560" t="inlineStr" s="2">
        <is>
          <t xml:space="preserve">Der Solsus 66 ist ein Dampfsterilisator, der eine hohe Kapazität, geringen Platzbedarf und hohe Kosteneffizienz bei der Sterilisation vereint.</t>
        </is>
      </c>
      <c r="E560" t="inlineStr" s="0">
        <is>
          <t xml:space="preserve">High</t>
        </is>
      </c>
      <c r="F560" s="4"/>
      <c r="G560" s="2"/>
      <c r="H560" s="2"/>
      <c r="I560" s="2"/>
      <c r="J560" s="4"/>
      <c r="K560" s="2"/>
      <c r="L560" t="str" s="3">
        <f>HYPERLINK("https://www.getinge.com/de/produkte/getinge-solsus-66/","/produkte/getinge-solsus-66/")</f>
        <v>/produkte/getinge-solsus-66/</v>
      </c>
    </row>
    <row r="561">
      <c r="A561" s="0">
        <v>560</v>
      </c>
      <c r="B561" t="str" s="3">
        <f>HYPERLINK("https://www.getinge.com/int/products/gew-cgmp-washer-dryer/","/products/gew-cgmp-washer-dryer/")</f>
        <v>/products/gew-cgmp-washer-dryer/</v>
      </c>
      <c r="C561" t="inlineStr" s="2">
        <is>
          <t xml:space="preserve">GEW 9109</t>
        </is>
      </c>
      <c r="D561" s="2"/>
      <c r="F561" s="4"/>
      <c r="G561" t="inlineStr" s="2">
        <is>
          <t xml:space="preserve">GEW 101210</t>
        </is>
      </c>
      <c r="H561" s="2"/>
      <c r="I561" s="2"/>
      <c r="J561" s="4"/>
      <c r="K561" s="2"/>
      <c r="L561" t="str" s="3">
        <f>HYPERLINK("https://www.getinge.com/de/produkte/gew-cgmp-reinigungsanlagen/","/produkte/gew-cgmp-reinigungsanlagen/")</f>
        <v>/produkte/gew-cgmp-reinigungsanlagen/</v>
      </c>
    </row>
    <row r="562">
      <c r="A562" s="0">
        <v>561</v>
      </c>
      <c r="B562" t="str" s="3">
        <f>HYPERLINK("https://www.getinge.com/int/products/gew-cgmp-washer-dryer/","/products/gew-cgmp-washer-dryer/")</f>
        <v>/products/gew-cgmp-washer-dryer/</v>
      </c>
      <c r="C562" t="inlineStr" s="2">
        <is>
          <t xml:space="preserve">The GEW 9109 is an ideal washer for multipurpose applications. Its 810 liter chamber allows for washing on two levels with ultra-low water consumption. In addition to low cycle costs and high productivity, the automatic sliding doors allow for good ergonomics.</t>
        </is>
      </c>
      <c r="D562" t="inlineStr" s="2">
        <is>
          <t xml:space="preserve">Das GEW 9109 ist das ideale Reinigungsgerät für vielseitige Anwendungen. Seine 810-Liter-Kammer ermöglicht die Reinigung auf zwei Ebenen bei einem äußerst geringen Wasserverbrauch. Neben den geringen Zykluskosten und der hohen Produktivität sorgen die automatischen Schiebetüren für eine hervorragende Ergonomie.</t>
        </is>
      </c>
      <c r="E562" t="inlineStr" s="0">
        <is>
          <t xml:space="preserve">High</t>
        </is>
      </c>
      <c r="F562" s="4"/>
      <c r="G562" t="inlineStr" s="2">
        <is>
          <t xml:space="preserve">Das mittelgroße Reinigungsgerät GEW 101210 ist vorrangig für den Produktionsbereich konzipiert. Das Basismodell bietet viele Standardfunktionen, die für die GMP-Konformität erforderlich sind. Die Kammern sind als Einzeltür- oder Durchreichemodell mit einer oder zwei waagerechten Schwenktüren aus Glas ausgestattet. Die Schwenktür optimiert den Platzbedarf und minimiert die Stellfläche dieses Modells.</t>
        </is>
      </c>
      <c r="H562" s="2"/>
      <c r="I562" s="2"/>
      <c r="J562" s="4"/>
      <c r="K562" s="2"/>
      <c r="L562" t="str" s="3">
        <f>HYPERLINK("https://www.getinge.com/de/produkte/gew-cgmp-reinigungsanlagen/","/produkte/gew-cgmp-reinigungsanlagen/")</f>
        <v>/produkte/gew-cgmp-reinigungsanlagen/</v>
      </c>
    </row>
    <row r="563">
      <c r="A563" s="0">
        <v>562</v>
      </c>
      <c r="B563" t="str" s="3">
        <f>HYPERLINK("https://www.getinge.com/int/products/gew-cgmp-washer-dryer/","/products/gew-cgmp-washer-dryer/")</f>
        <v>/products/gew-cgmp-washer-dryer/</v>
      </c>
      <c r="C563" t="inlineStr" s="2">
        <is>
          <t xml:space="preserve">GEW 101210</t>
        </is>
      </c>
      <c r="D563" s="2"/>
      <c r="F563" s="4"/>
      <c r="G563" t="inlineStr" s="2">
        <is>
          <t xml:space="preserve">GEW 9109</t>
        </is>
      </c>
      <c r="H563" t="inlineStr" s="2">
        <is>
          <t xml:space="preserve">Das mittelgroße Reinigungsgerät GEW 101210 ist vorrangig für den Produktionsbereich konzipiert. Das Basismodell bietet viele Standardfunktionen, die für die GMP-Konformität erforderlich sind. Die Kammern sind als Einzeltür- oder Durchreichemodell mit einer oder zwei waagerechten Schwenktüren aus Glas ausgestattet. Die Schwenktür optimiert den Platzbedarf und minimiert die Stellfläche dieses Modells.</t>
        </is>
      </c>
      <c r="I563" s="2"/>
      <c r="J563" s="4"/>
      <c r="K563" s="2"/>
      <c r="L563" t="str" s="3">
        <f>HYPERLINK("https://www.getinge.com/de/produkte/gew-cgmp-reinigungsanlagen/","/produkte/gew-cgmp-reinigungsanlagen/")</f>
        <v>/produkte/gew-cgmp-reinigungsanlagen/</v>
      </c>
    </row>
    <row r="564">
      <c r="A564" s="0">
        <v>563</v>
      </c>
      <c r="B564" t="str" s="3">
        <f>HYPERLINK("https://www.getinge.com/int/products/gew-cgmp-washer-dryer/","/products/gew-cgmp-washer-dryer/")</f>
        <v>/products/gew-cgmp-washer-dryer/</v>
      </c>
      <c r="C564" t="inlineStr" s="2">
        <is>
          <t xml:space="preserve">The medium sized GEW 101210 are designed primarily for the manufacturing area. The base model of each includes many standard features necessary for GMP compliance. The chambers are equipped with one or two vertical hinged glass doors for single ended use or pass-through operation. The hinged door optimizes space and minimizes footprint.</t>
        </is>
      </c>
      <c r="D564" t="inlineStr" s="2">
        <is>
          <t xml:space="preserve">Das mittelgroße Reinigungsgerät GEW 101210 ist vorrangig für den Produktionsbereich konzipiert. Das Basismodell bietet viele Standardfunktionen, die für die GMP-Konformität erforderlich sind. Die Kammern sind als Einzeltür- oder Durchreichemodell mit einer oder zwei waagerechten Schwenktüren aus Glas ausgestattet. Die Schwenktür optimiert den Platzbedarf und minimiert die Stellfläche dieses Modells.</t>
        </is>
      </c>
      <c r="E564" t="inlineStr" s="0">
        <is>
          <t xml:space="preserve">Medium</t>
        </is>
      </c>
      <c r="F564" s="4"/>
      <c r="G564" t="inlineStr" s="2">
        <is>
          <t xml:space="preserve">Das GEW 9109 ist das ideale Reinigungsgerät für vielseitige Anwendungen. Seine 810-Liter-Kammer ermöglicht die Reinigung auf zwei Ebenen bei einem äußerst geringen Wasserverbrauch. Neben den geringen Zykluskosten und der hohen Produktivität sorgen die automatischen Schiebetüren für eine hervorragende Ergonomie.</t>
        </is>
      </c>
      <c r="H564" t="inlineStr" s="2">
        <is>
          <t xml:space="preserve">GEW 101210</t>
        </is>
      </c>
      <c r="I564" s="2"/>
      <c r="J564" s="4"/>
      <c r="K564" s="2"/>
      <c r="L564" t="str" s="3">
        <f>HYPERLINK("https://www.getinge.com/de/produkte/gew-cgmp-reinigungsanlagen/","/produkte/gew-cgmp-reinigungsanlagen/")</f>
        <v>/produkte/gew-cgmp-reinigungsanlagen/</v>
      </c>
    </row>
    <row r="565">
      <c r="A565" s="0">
        <v>564</v>
      </c>
      <c r="B565" t="str" s="3">
        <f>HYPERLINK("https://www.getinge.com/int/products/gts-steam-air-mixture-sterilizer/","/products/gts-steam-air-mixture-sterilizer/")</f>
        <v>/products/gts-steam-air-mixture-sterilizer/</v>
      </c>
      <c r="C565" t="inlineStr" s="2">
        <is>
          <t xml:space="preserve">The GTS steam/air mix sterilizer will come with a small, medium or large chamber* - whatever fits your production space best</t>
        </is>
      </c>
      <c r="D565" t="inlineStr" s="2">
        <is>
          <t xml:space="preserve">Der GTS Dampf-/Luftgemisch-Sterilisator wird mit einer kleinen, mittleren oder großen Kammer geliefert – je nachdem, was am besten in Ihre Produktionsumgebung passt.</t>
        </is>
      </c>
      <c r="E565" t="inlineStr" s="0">
        <is>
          <t xml:space="preserve">Medium</t>
        </is>
      </c>
      <c r="F565" s="4"/>
      <c r="G565" t="inlineStr" s="2">
        <is>
          <t xml:space="preserve">Der modulare Aufbau ermöglicht es Ihnen, Ihren Sterilisationsprozess effizient zu gestalten. Durch Hinzufügen oder Entfernen von Zonen können Sie Ihre Sterilisationskapazität erhöhen oder verringern.</t>
        </is>
      </c>
      <c r="H565" s="2"/>
      <c r="I565" s="2"/>
      <c r="J565" s="4"/>
      <c r="K565" s="2"/>
      <c r="L565" t="str" s="3">
        <f>HYPERLINK("https://www.getinge.com/de/produkte/gts-dampf-luftgemisch-sterilisator/","/produkte/gts-dampf-luftgemisch-sterilisator/")</f>
        <v>/produkte/gts-dampf-luftgemisch-sterilisator/</v>
      </c>
    </row>
    <row r="566">
      <c r="A566" s="0">
        <v>565</v>
      </c>
      <c r="B566" t="str" s="3">
        <f>HYPERLINK("https://www.getinge.com/int/products/gts-steam-air-mixture-sterilizer/","/products/gts-steam-air-mixture-sterilizer/")</f>
        <v>/products/gts-steam-air-mixture-sterilizer/</v>
      </c>
      <c r="C566" t="inlineStr" s="2">
        <is>
          <t xml:space="preserve">The modular design enables you to efficiently design your sterilization process. By adding or removing sections from the various zones, you can increase or decrease your sterilization capacity.</t>
        </is>
      </c>
      <c r="D566" t="inlineStr" s="2">
        <is>
          <t xml:space="preserve">Der modulare Aufbau ermöglicht es Ihnen, Ihren Sterilisationsprozess effizient zu gestalten. Durch Hinzufügen oder Entfernen von Zonen können Sie Ihre Sterilisationskapazität erhöhen oder verringern.</t>
        </is>
      </c>
      <c r="E566" t="inlineStr" s="0">
        <is>
          <t xml:space="preserve">Medium</t>
        </is>
      </c>
      <c r="F566" s="4"/>
      <c r="G566" t="inlineStr" s="2">
        <is>
          <t xml:space="preserve">Der GTS Dampf-/Luftgemisch-Sterilisator wird mit einer kleinen, mittleren oder großen Kammer geliefert – je nachdem, was am besten in Ihre Produktionsumgebung passt.</t>
        </is>
      </c>
      <c r="H566" s="2"/>
      <c r="I566" s="2"/>
      <c r="J566" s="4"/>
      <c r="K566" s="2"/>
      <c r="L566" t="str" s="3">
        <f>HYPERLINK("https://www.getinge.com/de/produkte/gts-dampf-luftgemisch-sterilisator/","/produkte/gts-dampf-luftgemisch-sterilisator/")</f>
        <v>/produkte/gts-dampf-luftgemisch-sterilisator/</v>
      </c>
    </row>
    <row r="567">
      <c r="A567" s="0">
        <v>566</v>
      </c>
      <c r="B567" t="str" s="3">
        <f>HYPERLINK("https://www.getinge.com/int/products/hls-set-advanced/","/products/hls-set-advanced/")</f>
        <v>/products/hls-set-advanced/</v>
      </c>
      <c r="C567" t="inlineStr" s="2">
        <is>
          <t xml:space="preserve">HLS Set Advanced 5.0</t>
        </is>
      </c>
      <c r="D567" t="inlineStr" s="2">
        <is>
          <t xml:space="preserve">HLS Set Advanced 7.0</t>
        </is>
      </c>
      <c r="E567" t="inlineStr" s="0">
        <is>
          <t xml:space="preserve">High</t>
        </is>
      </c>
      <c r="F567" s="4"/>
      <c r="G567" s="2"/>
      <c r="H567" s="2"/>
      <c r="I567" s="2"/>
      <c r="J567" s="4"/>
      <c r="K567" t="inlineStr" s="2">
        <is>
          <t xml:space="preserve">number-mismatch: numbers [50] vs [70]</t>
        </is>
      </c>
      <c r="L567" t="str" s="3">
        <f>HYPERLINK("https://www.getinge.com/de/produkte/hls-set-advanced/","/produkte/hls-set-advanced/")</f>
        <v>/produkte/hls-set-advanced/</v>
      </c>
    </row>
    <row r="568">
      <c r="A568" s="0">
        <v>567</v>
      </c>
      <c r="B568" t="str" s="3">
        <f>HYPERLINK("https://www.getinge.com/int/products/hls-set-advanced/","/products/hls-set-advanced/")</f>
        <v>/products/hls-set-advanced/</v>
      </c>
      <c r="C568" t="inlineStr" s="2">
        <is>
          <t xml:space="preserve">Accommodates a blood flow of up to 5 l/min.</t>
        </is>
      </c>
      <c r="D568" t="inlineStr" s="2">
        <is>
          <t xml:space="preserve">Geeignet für einen Blutfluss von bis zu 5 l/min.</t>
        </is>
      </c>
      <c r="E568" t="inlineStr" s="0">
        <is>
          <t xml:space="preserve">Medium</t>
        </is>
      </c>
      <c r="F568" s="4"/>
      <c r="G568" t="inlineStr" s="2">
        <is>
          <t xml:space="preserve">Erhältlich mit biokompatibler Bioline-Beschichtung.</t>
        </is>
      </c>
      <c r="H568" t="inlineStr" s="2">
        <is>
          <t xml:space="preserve">Erhältlich mit biokompatibler Bioline-Beschichtung.</t>
        </is>
      </c>
      <c r="I568" t="inlineStr" s="2">
        <is>
          <t xml:space="preserve">Geeignet für einen Blutfluss von bis zu 7 l/min.</t>
        </is>
      </c>
      <c r="J568" s="4"/>
      <c r="K568" s="2"/>
      <c r="L568" t="str" s="3">
        <f>HYPERLINK("https://www.getinge.com/de/produkte/hls-set-advanced/","/produkte/hls-set-advanced/")</f>
        <v>/produkte/hls-set-advanced/</v>
      </c>
    </row>
    <row r="569">
      <c r="A569" s="0">
        <v>568</v>
      </c>
      <c r="B569" t="str" s="3">
        <f>HYPERLINK("https://www.getinge.com/int/products/hls-set-advanced/","/products/hls-set-advanced/")</f>
        <v>/products/hls-set-advanced/</v>
      </c>
      <c r="C569" t="inlineStr" s="2">
        <is>
          <t xml:space="preserve">Available with biocompatible Bioline Coating.</t>
        </is>
      </c>
      <c r="D569" t="inlineStr" s="2">
        <is>
          <t xml:space="preserve">Erhältlich mit biokompatibler Bioline-Beschichtung.</t>
        </is>
      </c>
      <c r="E569" t="inlineStr" s="0">
        <is>
          <t xml:space="preserve">High</t>
        </is>
      </c>
      <c r="F569" s="4"/>
      <c r="G569" t="inlineStr" s="2">
        <is>
          <t xml:space="preserve">Erhältlich mit biokompatibler Bioline-Beschichtung.</t>
        </is>
      </c>
      <c r="H569" t="inlineStr" s="2">
        <is>
          <t xml:space="preserve">Geeignet für einen Blutfluss von bis zu 5 l/min.</t>
        </is>
      </c>
      <c r="I569" t="inlineStr" s="2">
        <is>
          <t xml:space="preserve">Geeignet für einen Blutfluss von bis zu 7 l/min.</t>
        </is>
      </c>
      <c r="J569" s="4"/>
      <c r="K569" s="2"/>
      <c r="L569" t="str" s="3">
        <f>HYPERLINK("https://www.getinge.com/de/produkte/hls-set-advanced/","/produkte/hls-set-advanced/")</f>
        <v>/produkte/hls-set-advanced/</v>
      </c>
    </row>
    <row r="570">
      <c r="A570" s="0">
        <v>569</v>
      </c>
      <c r="B570" t="str" s="3">
        <f>HYPERLINK("https://www.getinge.com/int/products/hls-set-advanced/","/products/hls-set-advanced/")</f>
        <v>/products/hls-set-advanced/</v>
      </c>
      <c r="C570" t="inlineStr" s="2">
        <is>
          <t xml:space="preserve">For patients with history of heparin-induced thrombocytopenia, a set with Softline Coating is available, the HIT Set Advanced 5.0.</t>
        </is>
      </c>
      <c r="D570" s="2"/>
      <c r="F570" s="4"/>
      <c r="G570" t="inlineStr" s="2">
        <is>
          <t xml:space="preserve">Für Patientinnen und Patienten mit heparininduzierter Thrombozytopenie in der Anamnese ist ein Set mit Softline-Beschichtung erhältlich, das HIT Set Advanced 7.0.</t>
        </is>
      </c>
      <c r="H570" t="inlineStr" s="2">
        <is>
          <t xml:space="preserve">HLS Set Advanced 5.0</t>
        </is>
      </c>
      <c r="I570" s="2"/>
      <c r="J570" s="4"/>
      <c r="K570" s="2"/>
      <c r="L570" t="str" s="3">
        <f>HYPERLINK("https://www.getinge.com/de/produkte/hls-set-advanced/","/produkte/hls-set-advanced/")</f>
        <v>/produkte/hls-set-advanced/</v>
      </c>
    </row>
    <row r="571">
      <c r="A571" s="0">
        <v>570</v>
      </c>
      <c r="B571" t="str" s="3">
        <f>HYPERLINK("https://www.getinge.com/int/products/hls-set-advanced/","/products/hls-set-advanced/")</f>
        <v>/products/hls-set-advanced/</v>
      </c>
      <c r="C571" t="inlineStr" s="2">
        <is>
          <t xml:space="preserve">HLS Set Advanced 7.0</t>
        </is>
      </c>
      <c r="D571" t="inlineStr" s="2">
        <is>
          <t xml:space="preserve">HLS Set Advanced 5.0</t>
        </is>
      </c>
      <c r="E571" t="inlineStr" s="0">
        <is>
          <t xml:space="preserve">High</t>
        </is>
      </c>
      <c r="F571" s="4"/>
      <c r="G571" t="inlineStr" s="2">
        <is>
          <t xml:space="preserve">Für Patientinnen und Patienten mit heparininduzierter Thrombozytopenie in der Anamnese ist ein Set mit Softline-Beschichtung erhältlich, das HIT Set Advanced 7.0.</t>
        </is>
      </c>
      <c r="H571" s="2"/>
      <c r="I571" s="2"/>
      <c r="J571" s="4"/>
      <c r="K571" t="inlineStr" s="2">
        <is>
          <t xml:space="preserve">number-mismatch: numbers [70] vs [50]</t>
        </is>
      </c>
      <c r="L571" t="str" s="3">
        <f>HYPERLINK("https://www.getinge.com/de/produkte/hls-set-advanced/","/produkte/hls-set-advanced/")</f>
        <v>/produkte/hls-set-advanced/</v>
      </c>
    </row>
    <row r="572">
      <c r="A572" s="0">
        <v>571</v>
      </c>
      <c r="B572" t="str" s="3">
        <f>HYPERLINK("https://www.getinge.com/int/products/hls-set-advanced/","/products/hls-set-advanced/")</f>
        <v>/products/hls-set-advanced/</v>
      </c>
      <c r="C572" t="inlineStr" s="2">
        <is>
          <t xml:space="preserve">Accommodates a blood flow of up to 7 l/min.</t>
        </is>
      </c>
      <c r="D572" t="inlineStr" s="2">
        <is>
          <t xml:space="preserve">Geeignet für einen Blutfluss von bis zu 7 l/min.</t>
        </is>
      </c>
      <c r="E572" t="inlineStr" s="0">
        <is>
          <t xml:space="preserve">Medium</t>
        </is>
      </c>
      <c r="F572" s="4"/>
      <c r="G572" t="inlineStr" s="2">
        <is>
          <t xml:space="preserve">Erhältlich mit biokompatibler Bioline-Beschichtung.</t>
        </is>
      </c>
      <c r="H572" t="inlineStr" s="2">
        <is>
          <t xml:space="preserve">Erhältlich mit biokompatibler Bioline-Beschichtung.</t>
        </is>
      </c>
      <c r="I572" t="inlineStr" s="2">
        <is>
          <t xml:space="preserve">Geeignet für einen Blutfluss von bis zu 5 l/min.</t>
        </is>
      </c>
      <c r="J572" s="4"/>
      <c r="K572" s="2"/>
      <c r="L572" t="str" s="3">
        <f>HYPERLINK("https://www.getinge.com/de/produkte/hls-set-advanced/","/produkte/hls-set-advanced/")</f>
        <v>/produkte/hls-set-advanced/</v>
      </c>
    </row>
    <row r="573">
      <c r="A573" s="0">
        <v>572</v>
      </c>
      <c r="B573" t="str" s="3">
        <f>HYPERLINK("https://www.getinge.com/int/products/hls-set-advanced/","/products/hls-set-advanced/")</f>
        <v>/products/hls-set-advanced/</v>
      </c>
      <c r="C573" t="inlineStr" s="2">
        <is>
          <t xml:space="preserve">For patients with history of heparin-induced thrombocytopenia, a set with Softline Coating is available, the HIT Set Advanced 7.0.</t>
        </is>
      </c>
      <c r="D573" t="inlineStr" s="2">
        <is>
          <t xml:space="preserve">Für Patientinnen und Patienten mit heparininduzierter Thrombozytopenie in der Anamnese ist ein Set mit Softline-Beschichtung erhältlich, das HIT Set Advanced 7.0.</t>
        </is>
      </c>
      <c r="E573" t="inlineStr" s="0">
        <is>
          <t xml:space="preserve">High</t>
        </is>
      </c>
      <c r="F573" s="4"/>
      <c r="G573" t="inlineStr" s="2">
        <is>
          <t xml:space="preserve">HLS Set Advanced 7.0</t>
        </is>
      </c>
      <c r="H573" s="2"/>
      <c r="I573" s="2"/>
      <c r="J573" s="4"/>
      <c r="K573" s="2"/>
      <c r="L573" t="str" s="3">
        <f>HYPERLINK("https://www.getinge.com/de/produkte/hls-set-advanced/","/produkte/hls-set-advanced/")</f>
        <v>/produkte/hls-set-advanced/</v>
      </c>
    </row>
    <row r="574">
      <c r="A574" s="0">
        <v>573</v>
      </c>
      <c r="B574" t="str" s="3">
        <f>HYPERLINK("https://www.getinge.com/int/products/inspection-lamp/","/products/inspection-lamp/")</f>
        <v>/products/inspection-lamp/</v>
      </c>
      <c r="C574" t="inlineStr" s="2">
        <is>
          <t xml:space="preserve">LED magnifying lamps with clamps are designed for work with visual inspection thanks to optimum magnifications, as well as powerful, uniform lighting over large areas. The inspection lamps are ideal for work at the CSSD or other smaller sterile units in hospitals and clinics.</t>
        </is>
      </c>
      <c r="D574" t="inlineStr" s="2">
        <is>
          <t xml:space="preserve">LED-Lupenleuchten mit Klemmhalterung wurden für Arbeiten zur Sichtkontrolle entwickelt und bieten optimale Vergrößerungen sowie eine leistungsstarke und gleichmäßige Beleuchtung auf großen Flächen. Die Inspektionslampen sind ideal für die Arbeit in der ZSVA oder anderen kleineren sterilen Einheiten in Krankenhäusern und Kliniken.</t>
        </is>
      </c>
      <c r="E574" t="inlineStr" s="0">
        <is>
          <t xml:space="preserve">Medium</t>
        </is>
      </c>
      <c r="F574" s="4"/>
      <c r="G574" t="inlineStr" s="2">
        <is>
          <t xml:space="preserve">Die Position der Inspektionslampe lässt sich stufenlos einstellen, so dass der Anwender die optimale Höhe und den optimalen Winkel für das Sichtfeld finden kann.</t>
        </is>
      </c>
      <c r="H574" s="2"/>
      <c r="I574" s="2"/>
      <c r="J574" s="4"/>
      <c r="K574" s="2"/>
      <c r="L574" t="str" s="3">
        <f>HYPERLINK("https://www.getinge.com/de/produkte/inspektionslampe/","/produkte/inspektionslampe/")</f>
        <v>/produkte/inspektionslampe/</v>
      </c>
    </row>
    <row r="575">
      <c r="A575" s="0">
        <v>574</v>
      </c>
      <c r="B575" t="str" s="3">
        <f>HYPERLINK("https://www.getinge.com/int/products/inspection-lamp/","/products/inspection-lamp/")</f>
        <v>/products/inspection-lamp/</v>
      </c>
      <c r="C575" t="inlineStr" s="2">
        <is>
          <t xml:space="preserve">The position of the inspection lamp can be smoothly adjusted, enabling staff to find the optimal height and angle for the viewing glass.</t>
        </is>
      </c>
      <c r="D575" t="inlineStr" s="2">
        <is>
          <t xml:space="preserve">Die Position der Inspektionslampe lässt sich stufenlos einstellen, so dass der Anwender die optimale Höhe und den optimalen Winkel für das Sichtfeld finden kann.</t>
        </is>
      </c>
      <c r="E575" t="inlineStr" s="0">
        <is>
          <t xml:space="preserve">Medium</t>
        </is>
      </c>
      <c r="F575" s="4"/>
      <c r="G575" t="inlineStr" s="2">
        <is>
          <t xml:space="preserve">LED-Lupenleuchten mit Klemmhalterung wurden für Arbeiten zur Sichtkontrolle entwickelt und bieten optimale Vergrößerungen sowie eine leistungsstarke und gleichmäßige Beleuchtung auf großen Flächen. Die Inspektionslampen sind ideal für die Arbeit in der ZSVA oder anderen kleineren sterilen Einheiten in Krankenhäusern und Kliniken.</t>
        </is>
      </c>
      <c r="H575" s="2"/>
      <c r="I575" s="2"/>
      <c r="J575" s="4"/>
      <c r="K575" s="2"/>
      <c r="L575" t="str" s="3">
        <f>HYPERLINK("https://www.getinge.com/de/produkte/inspektionslampe/","/produkte/inspektionslampe/")</f>
        <v>/produkte/inspektionslampe/</v>
      </c>
    </row>
    <row r="576">
      <c r="A576" s="0">
        <v>575</v>
      </c>
      <c r="B576" t="str" s="3">
        <f>HYPERLINK("https://www.getinge.com/int/products/intergard-knitted-ultrathin/","/products/intergard-knitted-ultrathin/")</f>
        <v>/products/intergard-knitted-ultrathin/</v>
      </c>
      <c r="C576" t="inlineStr" s="2">
        <is>
          <t xml:space="preserve">Water permeability : &lt; 5ml/cm²/min</t>
        </is>
      </c>
      <c r="D576" t="inlineStr" s="2">
        <is>
          <t xml:space="preserve">Wasserdurchlässigkeit: &lt; 5 ml/cm²/min</t>
        </is>
      </c>
      <c r="E576" t="inlineStr" s="0">
        <is>
          <t xml:space="preserve">High</t>
        </is>
      </c>
      <c r="F576" s="4"/>
      <c r="G576" t="inlineStr" s="2">
        <is>
          <t xml:space="preserve">Kollagenimprägniertes Polyester-Implantat</t>
        </is>
      </c>
      <c r="H576" t="inlineStr" s="2">
        <is>
          <t xml:space="preserve">Realitätsnahe pulsatile Simulatoren</t>
        </is>
      </c>
      <c r="I576" t="inlineStr" s="2">
        <is>
          <t xml:space="preserve">Umgekehrte Charmeuse-Stricktechnik</t>
        </is>
      </c>
      <c r="J576" s="4"/>
      <c r="K576" s="2"/>
      <c r="L576" t="str" s="3">
        <f>HYPERLINK("https://www.getinge.com/de/produkte/intergard-knitted-ultraduenn/","/produkte/intergard-knitted-ultraduenn/")</f>
        <v>/produkte/intergard-knitted-ultraduenn/</v>
      </c>
    </row>
    <row r="577">
      <c r="A577" s="0">
        <v>576</v>
      </c>
      <c r="B577" t="str" s="3">
        <f>HYPERLINK("https://www.getinge.com/int/products/intergard-knitted-ultrathin/","/products/intergard-knitted-ultrathin/")</f>
        <v>/products/intergard-knitted-ultrathin/</v>
      </c>
      <c r="C577" t="inlineStr" s="2">
        <is>
          <t xml:space="preserve">Available in radially supported configuration for kink and compression resistance, including axillo-bifemoral and fem-fem crossover procedures [2],[3]</t>
        </is>
      </c>
      <c r="D577" t="inlineStr" s="2">
        <is>
          <t xml:space="preserve">In radial unterstützten Ausführungen mit höherer Knick- und Druckfestigkeit verfügbar, einschließlich axillobifemoraler und Fem-Fem-Crossover-Verfahren.[2],[3]</t>
        </is>
      </c>
      <c r="E577" t="inlineStr" s="0">
        <is>
          <t xml:space="preserve">High</t>
        </is>
      </c>
      <c r="F577" s="4"/>
      <c r="G577" t="inlineStr" s="2">
        <is>
          <t xml:space="preserve">Produkt-Workshops und Trainings sind ein wesentlicher Bestandteil unseres Angebots. Wir bieten unter anderem Schulungsoptionen für die chirurgische Simulation an.</t>
        </is>
      </c>
      <c r="H577" s="2"/>
      <c r="I577" s="2"/>
      <c r="J577" s="4"/>
      <c r="K577" s="2"/>
      <c r="L577" t="str" s="3">
        <f>HYPERLINK("https://www.getinge.com/de/produkte/intergard-knitted-ultraduenn/","/produkte/intergard-knitted-ultraduenn/")</f>
        <v>/produkte/intergard-knitted-ultraduenn/</v>
      </c>
    </row>
    <row r="578">
      <c r="A578" s="0">
        <v>577</v>
      </c>
      <c r="B578" t="str" s="3">
        <f>HYPERLINK("https://www.getinge.com/int/products/loading-equipment-for-getinge-lancer-ultima-laboratory-washers/","/products/loading-equipment-for-getinge-lancer-ultima-laboratory-washers/")</f>
        <v>/products/loading-equipment-for-getinge-lancer-ultima-laboratory-washers/</v>
      </c>
      <c r="C578" t="inlineStr" s="2">
        <is>
          <t xml:space="preserve">Baskets and covers for small items</t>
        </is>
      </c>
      <c r="D578" s="2"/>
      <c r="F578" s="4"/>
      <c r="G578" t="inlineStr" s="2">
        <is>
          <t xml:space="preserve">Spezieller Einsatz für Reinigungswagen</t>
        </is>
      </c>
      <c r="H578" t="inlineStr" s="2">
        <is>
          <t xml:space="preserve">Körbe und Abdeckungen für kleine Gegenstände</t>
        </is>
      </c>
      <c r="I578" t="inlineStr" s="2">
        <is>
          <t xml:space="preserve">Sicherer, ergonomischer Transport und Lagerung</t>
        </is>
      </c>
      <c r="J578" s="4"/>
      <c r="K578" s="2"/>
      <c r="L578" t="str" s="3">
        <f>HYPERLINK("https://www.getinge.com/de/produkte/beladeausruestung-fuer-getinge-lancer-ultima-labor-reinigungsgeraete/","/produkte/beladeausruestung-fuer-getinge-lancer-ultima-labor-reinigungsgeraete/")</f>
        <v>/produkte/beladeausruestung-fuer-getinge-lancer-ultima-labor-reinigungsgeraete/</v>
      </c>
    </row>
    <row r="579">
      <c r="A579" s="0">
        <v>578</v>
      </c>
      <c r="B579" t="str" s="3">
        <f>HYPERLINK("https://www.getinge.com/int/products/loading-equipment-for-getinge-lancer-ultima-laboratory-washers/","/products/loading-equipment-for-getinge-lancer-ultima-laboratory-washers/")</f>
        <v>/products/loading-equipment-for-getinge-lancer-ultima-laboratory-washers/</v>
      </c>
      <c r="C579" t="inlineStr" s="2">
        <is>
          <t xml:space="preserve">Small mesh baskets (LTC/STC) can be placed on standard racks for washing of smaller items such as bottle caps, ferrules, plugs, stoppers and test tubes. The baskets include top covers to keep the items in place within the basket</t>
        </is>
      </c>
      <c r="D579" t="inlineStr" s="2">
        <is>
          <t xml:space="preserve">Kleine Netzkörbe (LTC/STC) können zur Reinigung kleinerer Gegenstände wie Flaschendeckel, Klemmringe, Stöpsel, Stopper und Teströhrchen in Standardgestelle eingesetzt werden. Die Körbe umfassen Abdeckungen, damit die Gegenstände im Korb an Ort und Stelle bleiben</t>
        </is>
      </c>
      <c r="E579" t="inlineStr" s="0">
        <is>
          <t xml:space="preserve">Medium</t>
        </is>
      </c>
      <c r="F579" s="4"/>
      <c r="G579" t="inlineStr" s="2">
        <is>
          <t xml:space="preserve">Bis zu fünf Gestelle können auf der Zubehörablage aufbewahrt werden, die einen praktischen Ort zur Lagerung von zusätzlichen Gestellen und Körben bietet, wenn diese nicht gebraucht werden. Ein fünfstöckiger Transportwagen sorgt für sicheren und ergonomischen Transport von Gestellen, z. B. von der Arbeitsfläche zum Reinigungsgerät.</t>
        </is>
      </c>
      <c r="H579" s="2"/>
      <c r="I579" s="2"/>
      <c r="J579" s="4"/>
      <c r="K579" s="2"/>
      <c r="L579" t="str" s="3">
        <f>HYPERLINK("https://www.getinge.com/de/produkte/beladeausruestung-fuer-getinge-lancer-ultima-labor-reinigungsgeraete/","/produkte/beladeausruestung-fuer-getinge-lancer-ultima-labor-reinigungsgeraete/")</f>
        <v>/produkte/beladeausruestung-fuer-getinge-lancer-ultima-labor-reinigungsgeraete/</v>
      </c>
    </row>
    <row r="580">
      <c r="A580" s="0">
        <v>579</v>
      </c>
      <c r="B580" t="str" s="3">
        <f>HYPERLINK("https://www.getinge.com/int/products/loading-equipment-for-getinge-lancer-ultima-laboratory-washers/","/products/loading-equipment-for-getinge-lancer-ultima-laboratory-washers/")</f>
        <v>/products/loading-equipment-for-getinge-lancer-ultima-laboratory-washers/</v>
      </c>
      <c r="C580" t="inlineStr" s="2">
        <is>
          <t xml:space="preserve">Injector rack covers are available in full, 1/2 and 1/3 sizes to secure small or lightweight labware during the wash cycle.</t>
        </is>
      </c>
      <c r="D580" t="inlineStr" s="2">
        <is>
          <t xml:space="preserve">Abdeckungen für Sprühkopfeinsätze sind in den Größen komplett, 1/2 und 1/3 erhältlich, um kleine oder leichte Laborwaren während des Reinigungsprozesses sicher zu befestigen.</t>
        </is>
      </c>
      <c r="E580" t="inlineStr" s="0">
        <is>
          <t xml:space="preserve">Medium</t>
        </is>
      </c>
      <c r="F580" s="4"/>
      <c r="G580" t="inlineStr" s="2">
        <is>
          <t xml:space="preserve">Dieser spezielle Einsatz für Reinigungswagen für Mehrzweck-Bioreaktoren, Volumen 1–3 Liter (0,26–0,79 gal), stellt ein hoch reproduzierbares System sicher.</t>
        </is>
      </c>
      <c r="H580" s="2"/>
      <c r="I580" s="2"/>
      <c r="J580" s="4"/>
      <c r="K580" s="2"/>
      <c r="L580" t="str" s="3">
        <f>HYPERLINK("https://www.getinge.com/de/produkte/beladeausruestung-fuer-getinge-lancer-ultima-labor-reinigungsgeraete/","/produkte/beladeausruestung-fuer-getinge-lancer-ultima-labor-reinigungsgeraete/")</f>
        <v>/produkte/beladeausruestung-fuer-getinge-lancer-ultima-labor-reinigungsgeraete/</v>
      </c>
    </row>
    <row r="581">
      <c r="A581" s="0">
        <v>580</v>
      </c>
      <c r="B581" t="str" s="3">
        <f>HYPERLINK("https://www.getinge.com/int/products/loading-equipment-for-getinge-lancer-ultima-laboratory-washers/","/products/loading-equipment-for-getinge-lancer-ultima-laboratory-washers/")</f>
        <v>/products/loading-equipment-for-getinge-lancer-ultima-laboratory-washers/</v>
      </c>
      <c r="C581" t="inlineStr" s="2">
        <is>
          <t xml:space="preserve">Wash racks for bioreactors</t>
        </is>
      </c>
      <c r="D581" s="2"/>
      <c r="F581" s="4"/>
      <c r="G581" t="inlineStr" s="2">
        <is>
          <t xml:space="preserve">Spezieller Einsatz für Reinigungswagen</t>
        </is>
      </c>
      <c r="H581" t="inlineStr" s="2">
        <is>
          <t xml:space="preserve">Körbe und Abdeckungen für kleine Gegenstände</t>
        </is>
      </c>
      <c r="I581" t="inlineStr" s="2">
        <is>
          <t xml:space="preserve">Sicherer, ergonomischer Transport und Lagerung</t>
        </is>
      </c>
      <c r="J581" s="4"/>
      <c r="K581" s="2"/>
      <c r="L581" t="str" s="3">
        <f>HYPERLINK("https://www.getinge.com/de/produkte/beladeausruestung-fuer-getinge-lancer-ultima-labor-reinigungsgeraete/","/produkte/beladeausruestung-fuer-getinge-lancer-ultima-labor-reinigungsgeraete/")</f>
        <v>/produkte/beladeausruestung-fuer-getinge-lancer-ultima-labor-reinigungsgeraete/</v>
      </c>
    </row>
    <row r="582">
      <c r="A582" s="0">
        <v>581</v>
      </c>
      <c r="B582" t="str" s="3">
        <f>HYPERLINK("https://www.getinge.com/int/products/loading-equipment-for-getinge-lancer-ultima-laboratory-washers/","/products/loading-equipment-for-getinge-lancer-ultima-laboratory-washers/")</f>
        <v>/products/loading-equipment-for-getinge-lancer-ultima-laboratory-washers/</v>
      </c>
      <c r="C582" t="inlineStr" s="2">
        <is>
          <t xml:space="preserve">The Getinge Bioreactor Wash Racks are specifically designed for multi-use bioreactors, ranging from 1 - 3 liter (Getinge Applikon) or 1 - 7 liter (Getinge Applikon or other brands). The Bioreactor Wash Racks for the larger freestanding washers have a modularized system solution delivering a higher degree of flexibility.</t>
        </is>
      </c>
      <c r="D582" s="2"/>
      <c r="F582" s="4"/>
      <c r="G582" t="inlineStr" s="2">
        <is>
          <t xml:space="preserve">Bis zu fünf Gestelle können auf der Zubehörablage aufbewahrt werden, die einen praktischen Ort zur Lagerung von zusätzlichen Gestellen und Körben bietet, wenn diese nicht gebraucht werden. Ein fünfstöckiger Transportwagen sorgt für sicheren und ergonomischen Transport von Gestellen, z. B. von der Arbeitsfläche zum Reinigungsgerät.</t>
        </is>
      </c>
      <c r="H582" s="2"/>
      <c r="I582" s="2"/>
      <c r="J582" s="4"/>
      <c r="K582" s="2"/>
      <c r="L582" t="str" s="3">
        <f>HYPERLINK("https://www.getinge.com/de/produkte/beladeausruestung-fuer-getinge-lancer-ultima-labor-reinigungsgeraete/","/produkte/beladeausruestung-fuer-getinge-lancer-ultima-labor-reinigungsgeraete/")</f>
        <v>/produkte/beladeausruestung-fuer-getinge-lancer-ultima-labor-reinigungsgeraete/</v>
      </c>
    </row>
    <row r="583">
      <c r="A583" s="0">
        <v>582</v>
      </c>
      <c r="B583" t="str" s="3">
        <f>HYPERLINK("https://www.getinge.com/int/products/loading-equipment-for-getinge-lancer-ultima-laboratory-washers/","/products/loading-equipment-for-getinge-lancer-ultima-laboratory-washers/")</f>
        <v>/products/loading-equipment-for-getinge-lancer-ultima-laboratory-washers/</v>
      </c>
      <c r="C583" t="inlineStr" s="2">
        <is>
          <t xml:space="preserve">• The design features an injector system to clean ports on the bioreactor headplate. • Pre-validated cleaning performance ensures accurate and repeatable results.</t>
        </is>
      </c>
      <c r="D583" s="2"/>
      <c r="F583" s="4"/>
      <c r="G583" t="inlineStr" s="2">
        <is>
          <t xml:space="preserve">Dieser spezielle Einsatz für Reinigungswagen für Mehrzweck-Bioreaktoren, Volumen 1–3 Liter (0,26–0,79 gal), stellt ein hoch reproduzierbares System sicher.</t>
        </is>
      </c>
      <c r="H583" t="inlineStr" s="2">
        <is>
          <t xml:space="preserve">Abdeckungen für Sprühkopfeinsätze sind in den Größen komplett, 1/2 und 1/3 erhältlich, um kleine oder leichte Laborwaren während des Reinigungsprozesses sicher zu befestigen.</t>
        </is>
      </c>
      <c r="I583" t="inlineStr" s="2">
        <is>
          <t xml:space="preserve">Kleine Netzkörbe (LTC/STC) können zur Reinigung kleinerer Gegenstände wie Flaschendeckel, Klemmringe, Stöpsel, Stopper und Teströhrchen in Standardgestelle eingesetzt werden. Die Körbe umfassen Abdeckungen, damit die Gegenstände im Korb an Ort und Stelle bleiben</t>
        </is>
      </c>
      <c r="J583" s="4"/>
      <c r="K583" s="2"/>
      <c r="L583" t="str" s="3">
        <f>HYPERLINK("https://www.getinge.com/de/produkte/beladeausruestung-fuer-getinge-lancer-ultima-labor-reinigungsgeraete/","/produkte/beladeausruestung-fuer-getinge-lancer-ultima-labor-reinigungsgeraete/")</f>
        <v>/produkte/beladeausruestung-fuer-getinge-lancer-ultima-labor-reinigungsgeraete/</v>
      </c>
    </row>
    <row r="584">
      <c r="A584" s="0">
        <v>583</v>
      </c>
      <c r="B584" t="str" s="3">
        <f>HYPERLINK("https://www.getinge.com/int/products/loading-equipment-for-getinge-lancer-ultima-laboratory-washers/","/products/loading-equipment-for-getinge-lancer-ultima-laboratory-washers/")</f>
        <v>/products/loading-equipment-for-getinge-lancer-ultima-laboratory-washers/</v>
      </c>
      <c r="C584" t="inlineStr" s="2">
        <is>
          <t xml:space="preserve">Safe, ergonomic transport and storage</t>
        </is>
      </c>
      <c r="D584" t="inlineStr" s="2">
        <is>
          <t xml:space="preserve">Sicherer, ergonomischer Transport und Lagerung</t>
        </is>
      </c>
      <c r="E584" t="inlineStr" s="0">
        <is>
          <t xml:space="preserve">High</t>
        </is>
      </c>
      <c r="F584" s="4"/>
      <c r="G584" t="inlineStr" s="2">
        <is>
          <t xml:space="preserve">Körbe und Abdeckungen für kleine Gegenstände</t>
        </is>
      </c>
      <c r="H584" t="inlineStr" s="2">
        <is>
          <t xml:space="preserve">Spezieller Einsatz für Reinigungswagen</t>
        </is>
      </c>
      <c r="I584" s="2"/>
      <c r="J584" s="4"/>
      <c r="K584" s="2"/>
      <c r="L584" t="str" s="3">
        <f>HYPERLINK("https://www.getinge.com/de/produkte/beladeausruestung-fuer-getinge-lancer-ultima-labor-reinigungsgeraete/","/produkte/beladeausruestung-fuer-getinge-lancer-ultima-labor-reinigungsgeraete/")</f>
        <v>/produkte/beladeausruestung-fuer-getinge-lancer-ultima-labor-reinigungsgeraete/</v>
      </c>
    </row>
    <row r="585">
      <c r="A585" s="0">
        <v>584</v>
      </c>
      <c r="B585" t="str" s="3">
        <f>HYPERLINK("https://www.getinge.com/int/products/loading-equipment-for-getinge-lancer-ultima-laboratory-washers/","/products/loading-equipment-for-getinge-lancer-ultima-laboratory-washers/")</f>
        <v>/products/loading-equipment-for-getinge-lancer-ultima-laboratory-washers/</v>
      </c>
      <c r="C585" t="inlineStr" s="2">
        <is>
          <t xml:space="preserve">Up to 5 racks can be stored on an accessory storage, providing a convenient place to store accessory racks and baskets when not in use. A 5-level transport trolley allows for safe and ergonomic transportation of racks, e.g. from workbench to washer.</t>
        </is>
      </c>
      <c r="D585" t="inlineStr" s="2">
        <is>
          <t xml:space="preserve">Bis zu fünf Gestelle können auf der Zubehörablage aufbewahrt werden, die einen praktischen Ort zur Lagerung von zusätzlichen Gestellen und Körben bietet, wenn diese nicht gebraucht werden. Ein fünfstöckiger Transportwagen sorgt für sicheren und ergonomischen Transport von Gestellen, z. B. von der Arbeitsfläche zum Reinigungsgerät.</t>
        </is>
      </c>
      <c r="E585" t="inlineStr" s="0">
        <is>
          <t xml:space="preserve">Medium</t>
        </is>
      </c>
      <c r="F585" s="4"/>
      <c r="G585" t="inlineStr" s="2">
        <is>
          <t xml:space="preserve">Kleine Netzkörbe (LTC/STC) können zur Reinigung kleinerer Gegenstände wie Flaschendeckel, Klemmringe, Stöpsel, Stopper und Teströhrchen in Standardgestelle eingesetzt werden. Die Körbe umfassen Abdeckungen, damit die Gegenstände im Korb an Ort und Stelle bleiben</t>
        </is>
      </c>
      <c r="H585" s="2"/>
      <c r="I585" s="2"/>
      <c r="J585" s="4"/>
      <c r="K585" s="2"/>
      <c r="L585" t="str" s="3">
        <f>HYPERLINK("https://www.getinge.com/de/produkte/beladeausruestung-fuer-getinge-lancer-ultima-labor-reinigungsgeraete/","/produkte/beladeausruestung-fuer-getinge-lancer-ultima-labor-reinigungsgeraete/")</f>
        <v>/produkte/beladeausruestung-fuer-getinge-lancer-ultima-labor-reinigungsgeraete/</v>
      </c>
    </row>
    <row r="586">
      <c r="A586" s="0">
        <v>585</v>
      </c>
      <c r="B586" t="str" s="3">
        <f>HYPERLINK("https://www.getinge.com/int/products/maquet-corin/","/products/maquet-corin/")</f>
        <v>/products/maquet-corin/</v>
      </c>
      <c r="C586" t="inlineStr" s="2">
        <is>
          <t xml:space="preserve">Maquet Corin is an intelligent guided mobile surgical table that can help to streamline processes in the daily routine of your surgical departments. Stay fully focused on patients knowing that your operating table is giving intuitive visual feedback that helps manage risks. Easily set up and position patients for optimized site access and ergonomics.</t>
        </is>
      </c>
      <c r="D586" t="inlineStr" s="2">
        <is>
          <t xml:space="preserve">Sie können sich voll und ganz auf Ihre Patienten konzentrieren und sich auf den OP-Tisch verlassen. Er gibt Ihnen intuitive visuelle Rückmeldungen, die Ihnen den Umgang mit Risiken erleichtern. Einfache Einrichtung und Positionierung von Patienten für einen idealen Zugang zum Operationsfeld und optimale Ergonomie, sind weitere Eigenschaften von Maquet Corin.</t>
        </is>
      </c>
      <c r="E586" t="inlineStr" s="0">
        <is>
          <t xml:space="preserve">Medium</t>
        </is>
      </c>
      <c r="F586" s="4"/>
      <c r="G586" t="inlineStr" s="2">
        <is>
          <t xml:space="preserve">Maquet Corin ist ein mobiler Operationstisch mit intelligenter Führung, der dazu beitragen kann, die täglichen Aufgaben in Ihrer chirurgischen Abteilung zu optimieren.</t>
        </is>
      </c>
      <c r="H586" s="2"/>
      <c r="I586" s="2"/>
      <c r="J586" s="4"/>
      <c r="K586" s="2"/>
      <c r="L586" t="str" s="3">
        <f>HYPERLINK("https://www.getinge.com/de/produkte/maquet-corin/","/produkte/maquet-corin/")</f>
        <v>/produkte/maquet-corin/</v>
      </c>
    </row>
    <row r="587">
      <c r="A587" s="0">
        <v>586</v>
      </c>
      <c r="B587" t="str" s="3">
        <f>HYPERLINK("https://www.getinge.com/int/products/maquet-corin/","/products/maquet-corin/")</f>
        <v>/products/maquet-corin/</v>
      </c>
      <c r="C587" t="inlineStr" s="2">
        <is>
          <t xml:space="preserve">For various applications scopes</t>
        </is>
      </c>
      <c r="D587" s="2"/>
      <c r="F587" s="4"/>
      <c r="G587" t="inlineStr" s="2">
        <is>
          <t xml:space="preserve">Einfach in einen Spezial-OP-Tisch umwandelbar</t>
        </is>
      </c>
      <c r="H587" t="inlineStr" s="2">
        <is>
          <t xml:space="preserve">Laden Sie hier die Broschüre zum Traktionsadapter herunter</t>
        </is>
      </c>
      <c r="I587" s="2"/>
      <c r="J587" s="4"/>
      <c r="K587" s="2"/>
      <c r="L587" t="str" s="3">
        <f>HYPERLINK("https://www.getinge.com/de/produkte/maquet-corin/","/produkte/maquet-corin/")</f>
        <v>/produkte/maquet-corin/</v>
      </c>
    </row>
    <row r="588">
      <c r="A588" s="0">
        <v>587</v>
      </c>
      <c r="B588" t="str" s="3">
        <f>HYPERLINK("https://www.getinge.com/int/products/maquet-corin/","/products/maquet-corin/")</f>
        <v>/products/maquet-corin/</v>
      </c>
      <c r="C588" t="inlineStr" s="2">
        <is>
          <t xml:space="preserve">Getinge has set a new standard to support specialized orthopedic and traumatology applications, enabling hyperextension, abduction, adduction and rotation of the legs.</t>
        </is>
      </c>
      <c r="D588" t="inlineStr" s="2">
        <is>
          <t xml:space="preserve">Getinge hat einen neuen Standard für spezielle orthopädische und traumatologische Anwendungen gesetzt, der eine Überstreckung, Abduktion, Adduktion und Rotation der Beine ermöglicht.</t>
        </is>
      </c>
      <c r="E588" t="inlineStr" s="0">
        <is>
          <t xml:space="preserve">High</t>
        </is>
      </c>
      <c r="F588" s="4"/>
      <c r="G588" t="inlineStr" s="2">
        <is>
          <t xml:space="preserve">Sie suchen einen Traktionstisch? Der Traktionsadapter ermöglicht eine einfache Umwandlung eines Universal-Operationstisches in eine spezielle orthopädische Konfiguration.</t>
        </is>
      </c>
      <c r="H588" s="2"/>
      <c r="I588" s="2"/>
      <c r="J588" s="4"/>
      <c r="K588" s="2"/>
      <c r="L588" t="str" s="3">
        <f>HYPERLINK("https://www.getinge.com/de/produkte/maquet-corin/","/produkte/maquet-corin/")</f>
        <v>/produkte/maquet-corin/</v>
      </c>
    </row>
    <row r="589">
      <c r="A589" s="0">
        <v>588</v>
      </c>
      <c r="B589" t="str" s="3">
        <f>HYPERLINK("https://www.getinge.com/int/products/maquet-corin/","/products/maquet-corin/")</f>
        <v>/products/maquet-corin/</v>
      </c>
      <c r="C589" t="inlineStr" s="2">
        <is>
          <t xml:space="preserve">Easily convertible into a specialized OR Table</t>
        </is>
      </c>
      <c r="D589" t="inlineStr" s="2">
        <is>
          <t xml:space="preserve">Einfach in einen Spezial-OP-Tisch umwandelbar</t>
        </is>
      </c>
      <c r="E589" t="inlineStr" s="0">
        <is>
          <t xml:space="preserve">Low</t>
        </is>
      </c>
      <c r="F589" s="4"/>
      <c r="G589" t="inlineStr" s="2">
        <is>
          <t xml:space="preserve">Laden Sie hier die Broschüre zum Traktionsadapter herunter</t>
        </is>
      </c>
      <c r="H589" s="2"/>
      <c r="I589" s="2"/>
      <c r="J589" s="4"/>
      <c r="K589" s="2"/>
      <c r="L589" t="str" s="3">
        <f>HYPERLINK("https://www.getinge.com/de/produkte/maquet-corin/","/produkte/maquet-corin/")</f>
        <v>/produkte/maquet-corin/</v>
      </c>
    </row>
    <row r="590">
      <c r="A590" s="0">
        <v>589</v>
      </c>
      <c r="B590" t="str" s="3">
        <f>HYPERLINK("https://www.getinge.com/int/products/maquet-corin/","/products/maquet-corin/")</f>
        <v>/products/maquet-corin/</v>
      </c>
      <c r="C590" t="inlineStr" s="2">
        <is>
          <t xml:space="preserve">Looking for a traction table? The traction adapter enables an easy conversion from a universal operating table to a specialized orthopedic setup.</t>
        </is>
      </c>
      <c r="D590" t="inlineStr" s="2">
        <is>
          <t xml:space="preserve">Sie suchen einen Traktionstisch? Der Traktionsadapter ermöglicht eine einfache Umwandlung eines Universal-Operationstisches in eine spezielle orthopädische Konfiguration.</t>
        </is>
      </c>
      <c r="E590" t="inlineStr" s="0">
        <is>
          <t xml:space="preserve">High</t>
        </is>
      </c>
      <c r="F590" s="4"/>
      <c r="G590" t="inlineStr" s="2">
        <is>
          <t xml:space="preserve">Getinge hat einen neuen Standard für spezielle orthopädische und traumatologische Anwendungen gesetzt, der eine Überstreckung, Abduktion, Adduktion und Rotation der Beine ermöglicht.</t>
        </is>
      </c>
      <c r="H590" t="inlineStr" s="2">
        <is>
          <t xml:space="preserve">Laden Sie hier die Broschüre zum Traktionsadapter herunter</t>
        </is>
      </c>
      <c r="I590" s="2"/>
      <c r="J590" s="4"/>
      <c r="K590" s="2"/>
      <c r="L590" t="str" s="3">
        <f>HYPERLINK("https://www.getinge.com/de/produkte/maquet-corin/","/produkte/maquet-corin/")</f>
        <v>/produkte/maquet-corin/</v>
      </c>
    </row>
    <row r="591">
      <c r="A591" s="0">
        <v>590</v>
      </c>
      <c r="B591" t="str" s="3">
        <f>HYPERLINK("https://www.getinge.com/int/products/maquet-corin/","/products/maquet-corin/")</f>
        <v>/products/maquet-corin/</v>
      </c>
      <c r="C591" t="inlineStr" s="2">
        <is>
          <t xml:space="preserve">In the operating room, FleetView ensures your Maquet Corin OR Table is ready for action and that everything continues as planned.</t>
        </is>
      </c>
      <c r="D591" t="inlineStr" s="2">
        <is>
          <t xml:space="preserve">Im Operationssaal sorgt FleetView dafür, dass Ihr Maquet Corin OP-Tisch jederzeit einsatzbereit ist und alles wie geplant abläuft.</t>
        </is>
      </c>
      <c r="E591" t="inlineStr" s="0">
        <is>
          <t xml:space="preserve">Medium</t>
        </is>
      </c>
      <c r="F591" s="4"/>
      <c r="G591" t="inlineStr" s="2">
        <is>
          <t xml:space="preserve">Wartung anfordern und planen: Sorgen Sie für einen reibungslosen Betrieb und maximale Verfügbarkeit Ihrer Geräte.</t>
        </is>
      </c>
      <c r="H591" t="inlineStr" s="2">
        <is>
          <t xml:space="preserve">Batteriestatus: Stellen Sie sicher, dass Ihre Geräte im Bedarfsfall einsatzbereit sind.</t>
        </is>
      </c>
      <c r="I591" s="2"/>
      <c r="J591" s="4"/>
      <c r="K591" s="2"/>
      <c r="L591" t="str" s="3">
        <f>HYPERLINK("https://www.getinge.com/de/produkte/maquet-corin/","/produkte/maquet-corin/")</f>
        <v>/produkte/maquet-corin/</v>
      </c>
    </row>
    <row r="592">
      <c r="A592" s="0">
        <v>591</v>
      </c>
      <c r="B592" t="str" s="3">
        <f>HYPERLINK("https://www.getinge.com/int/products/maquet-corin/","/products/maquet-corin/")</f>
        <v>/products/maquet-corin/</v>
      </c>
      <c r="C592" t="inlineStr" s="2">
        <is>
          <t xml:space="preserve">Battery status: ensure equipment are ready to perform when needed.</t>
        </is>
      </c>
      <c r="D592" t="inlineStr" s="2">
        <is>
          <t xml:space="preserve">Batteriestatus: Stellen Sie sicher, dass Ihre Geräte im Bedarfsfall einsatzbereit sind.</t>
        </is>
      </c>
      <c r="E592" t="inlineStr" s="0">
        <is>
          <t xml:space="preserve">Low</t>
        </is>
      </c>
      <c r="F592" s="4"/>
      <c r="G592" t="inlineStr" s="2">
        <is>
          <t xml:space="preserve">Wartung anfordern und planen: Sorgen Sie für einen reibungslosen Betrieb und maximale Verfügbarkeit Ihrer Geräte.</t>
        </is>
      </c>
      <c r="H592" s="2"/>
      <c r="I592" s="2"/>
      <c r="J592" s="4"/>
      <c r="K592" s="2"/>
      <c r="L592" t="str" s="3">
        <f>HYPERLINK("https://www.getinge.com/de/produkte/maquet-corin/","/produkte/maquet-corin/")</f>
        <v>/produkte/maquet-corin/</v>
      </c>
    </row>
    <row r="593">
      <c r="A593" s="0">
        <v>592</v>
      </c>
      <c r="B593" t="str" s="3">
        <f>HYPERLINK("https://www.getinge.com/int/products/maquet-corin/","/products/maquet-corin/")</f>
        <v>/products/maquet-corin/</v>
      </c>
      <c r="C593" t="inlineStr" s="2">
        <is>
          <t xml:space="preserve">Keep devices running smoothly to maximize uptime</t>
        </is>
      </c>
      <c r="D593" s="2"/>
      <c r="F593" s="4"/>
      <c r="G593" t="inlineStr" s="2">
        <is>
          <t xml:space="preserve">Batteriestatus: Stellen Sie sicher, dass Ihre Geräte im Bedarfsfall einsatzbereit sind.</t>
        </is>
      </c>
      <c r="H593" s="2"/>
      <c r="I593" s="2"/>
      <c r="J593" s="4"/>
      <c r="K593" s="2"/>
      <c r="L593" t="str" s="3">
        <f>HYPERLINK("https://www.getinge.com/de/produkte/maquet-corin/","/produkte/maquet-corin/")</f>
        <v>/produkte/maquet-corin/</v>
      </c>
    </row>
    <row r="594">
      <c r="A594" s="0">
        <v>593</v>
      </c>
      <c r="B594" t="str" s="3">
        <f>HYPERLINK("https://www.getinge.com/int/products/maquet-corin/","/products/maquet-corin/")</f>
        <v>/products/maquet-corin/</v>
      </c>
      <c r="C594" t="inlineStr" s="2">
        <is>
          <t xml:space="preserve">A connected OR table like the Maquet Corin gives users immediate access to crucial information such as battery charge level, system readiness, and technical alerts, right at the point of care. With a quick scan of a QR code on the device, OR teams can view essential documentation and service data instantly.</t>
        </is>
      </c>
      <c r="D594" t="inlineStr" s="2">
        <is>
          <t xml:space="preserve">Ein vernetzter OP-Tisch wie der Maquet Corin ermöglicht dem medizinischen Personal den direkten Zugriff auf wichtige Informationen – etwa zum Ladezustand der Batterie, zur Systembereitschaft oder zu technischen Warnmeldungen – genau dort, wo sie gebraucht werden: am Point of Care.</t>
        </is>
      </c>
      <c r="E594" t="inlineStr" s="0">
        <is>
          <t xml:space="preserve">Medium</t>
        </is>
      </c>
      <c r="F594" s="4"/>
      <c r="G594" t="inlineStr" s="2">
        <is>
          <t xml:space="preserve">Durch das einfache Scannen eines QR-Codes am Gerät erhalten OP-Teams sofort Zugriff auf relevante Dokumentationen und Servicedaten.</t>
        </is>
      </c>
      <c r="H594" s="2"/>
      <c r="I594" s="2"/>
      <c r="J594" s="4"/>
      <c r="K594" s="2"/>
      <c r="L594" t="str" s="3">
        <f>HYPERLINK("https://www.getinge.com/de/produkte/maquet-corin/","/produkte/maquet-corin/")</f>
        <v>/produkte/maquet-corin/</v>
      </c>
    </row>
    <row r="595">
      <c r="A595" s="0">
        <v>594</v>
      </c>
      <c r="B595" t="str" s="3">
        <f>HYPERLINK("https://www.getinge.com/int/products/maquet-corin/","/products/maquet-corin/")</f>
        <v>/products/maquet-corin/</v>
      </c>
      <c r="C595" t="inlineStr" s="2">
        <is>
          <t xml:space="preserve">In the OR via QR code</t>
        </is>
      </c>
      <c r="D595" s="2"/>
      <c r="F595" s="4"/>
      <c r="G595" t="inlineStr" s="2">
        <is>
          <t xml:space="preserve">OP-Tisch Details und Status</t>
        </is>
      </c>
      <c r="H595" t="inlineStr" s="2">
        <is>
          <t xml:space="preserve">Erleichtert Service und Wartung</t>
        </is>
      </c>
      <c r="I595" t="inlineStr" s="2">
        <is>
          <t xml:space="preserve">Gebrauchsanweisung, HTML und PDF</t>
        </is>
      </c>
      <c r="J595" s="4"/>
      <c r="K595" s="2"/>
      <c r="L595" t="str" s="3">
        <f>HYPERLINK("https://www.getinge.com/de/produkte/maquet-corin/","/produkte/maquet-corin/")</f>
        <v>/produkte/maquet-corin/</v>
      </c>
    </row>
    <row r="596">
      <c r="A596" s="0">
        <v>595</v>
      </c>
      <c r="B596" t="str" s="3">
        <f>HYPERLINK("https://www.getinge.com/int/products/maquet-corin/","/products/maquet-corin/")</f>
        <v>/products/maquet-corin/</v>
      </c>
      <c r="C596" t="inlineStr" s="2">
        <is>
          <t xml:space="preserve">In the operating room, easy and fast access to online resources:</t>
        </is>
      </c>
      <c r="D596" t="inlineStr" s="2">
        <is>
          <t xml:space="preserve">Greifen Sie im OP einfach und schnell auf Online-Materialien zu:</t>
        </is>
      </c>
      <c r="E596" t="inlineStr" s="0">
        <is>
          <t xml:space="preserve">Medium</t>
        </is>
      </c>
      <c r="F596" s="4"/>
      <c r="G596" t="inlineStr" s="2">
        <is>
          <t xml:space="preserve">Maximieren Sie die Geräteverfügbarkeit in Ihrem OP</t>
        </is>
      </c>
      <c r="H596" t="inlineStr" s="2">
        <is>
          <t xml:space="preserve">Online über das FleetView-Webportal</t>
        </is>
      </c>
      <c r="I596" s="2"/>
      <c r="J596" s="4"/>
      <c r="K596" s="2"/>
      <c r="L596" t="str" s="3">
        <f>HYPERLINK("https://www.getinge.com/de/produkte/maquet-corin/","/produkte/maquet-corin/")</f>
        <v>/produkte/maquet-corin/</v>
      </c>
    </row>
    <row r="597">
      <c r="A597" s="0">
        <v>596</v>
      </c>
      <c r="B597" t="str" s="3">
        <f>HYPERLINK("https://www.getinge.com/int/products/maquet-corin/","/products/maquet-corin/")</f>
        <v>/products/maquet-corin/</v>
      </c>
      <c r="C597" t="inlineStr" s="2">
        <is>
          <t xml:space="preserve">Instructions for use (IFU), HTML and PDF</t>
        </is>
      </c>
      <c r="D597" t="inlineStr" s="2">
        <is>
          <t xml:space="preserve">Gebrauchsanweisung, HTML und PDF</t>
        </is>
      </c>
      <c r="E597" t="inlineStr" s="0">
        <is>
          <t xml:space="preserve">Medium</t>
        </is>
      </c>
      <c r="F597" s="4"/>
      <c r="G597" t="inlineStr" s="2">
        <is>
          <t xml:space="preserve">Maximieren Sie die Geräteverfügbarkeit in Ihrem OP</t>
        </is>
      </c>
      <c r="H597" t="inlineStr" s="2">
        <is>
          <t xml:space="preserve">Schneller Remote-Support von Getinge</t>
        </is>
      </c>
      <c r="I597" t="inlineStr" s="2">
        <is>
          <t xml:space="preserve">Verfügbare und einsatzbereite Geräte</t>
        </is>
      </c>
      <c r="J597" s="4"/>
      <c r="K597" t="inlineStr" s="2">
        <is>
          <t xml:space="preserve">protected-token-mismatch: missing in target: IFU</t>
        </is>
      </c>
      <c r="L597" t="str" s="3">
        <f>HYPERLINK("https://www.getinge.com/de/produkte/maquet-corin/","/produkte/maquet-corin/")</f>
        <v>/produkte/maquet-corin/</v>
      </c>
    </row>
    <row r="598">
      <c r="A598" s="0">
        <v>597</v>
      </c>
      <c r="B598" t="str" s="3">
        <f>HYPERLINK("https://www.getinge.com/int/products/maquet-corin/","/products/maquet-corin/")</f>
        <v>/products/maquet-corin/</v>
      </c>
      <c r="C598" t="inlineStr" s="2">
        <is>
          <t xml:space="preserve">OR table details and status</t>
        </is>
      </c>
      <c r="D598" t="inlineStr" s="2">
        <is>
          <t xml:space="preserve">OP-Tisch Details und Status</t>
        </is>
      </c>
      <c r="E598" t="inlineStr" s="0">
        <is>
          <t xml:space="preserve">High</t>
        </is>
      </c>
      <c r="F598" s="4"/>
      <c r="G598" t="inlineStr" s="2">
        <is>
          <t xml:space="preserve">Gebrauchsanweisung, HTML und PDF</t>
        </is>
      </c>
      <c r="H598" t="inlineStr" s="2">
        <is>
          <t xml:space="preserve">Erleichtert Service und Wartung</t>
        </is>
      </c>
      <c r="I598" t="inlineStr" s="2">
        <is>
          <t xml:space="preserve">Schneller Remote-Support von Getinge</t>
        </is>
      </c>
      <c r="J598" s="4"/>
      <c r="K598" s="2"/>
      <c r="L598" t="str" s="3">
        <f>HYPERLINK("https://www.getinge.com/de/produkte/maquet-corin/","/produkte/maquet-corin/")</f>
        <v>/produkte/maquet-corin/</v>
      </c>
    </row>
    <row r="599">
      <c r="A599" s="0">
        <v>598</v>
      </c>
      <c r="B599" t="str" s="3">
        <f>HYPERLINK("https://www.getinge.com/int/products/maquet-corin/","/products/maquet-corin/")</f>
        <v>/products/maquet-corin/</v>
      </c>
      <c r="C599" t="inlineStr" s="2">
        <is>
          <t xml:space="preserve">Online via the FleetView web portal</t>
        </is>
      </c>
      <c r="D599" t="inlineStr" s="2">
        <is>
          <t xml:space="preserve">Online über das FleetView-Webportal</t>
        </is>
      </c>
      <c r="E599" t="inlineStr" s="0">
        <is>
          <t xml:space="preserve">High</t>
        </is>
      </c>
      <c r="F599" s="4"/>
      <c r="G599" t="inlineStr" s="2">
        <is>
          <t xml:space="preserve">Schneller Remote-Support von Getinge</t>
        </is>
      </c>
      <c r="H599" t="inlineStr" s="2">
        <is>
          <t xml:space="preserve">Verfügbare und einsatzbereite Geräte</t>
        </is>
      </c>
      <c r="I599" t="inlineStr" s="2">
        <is>
          <t xml:space="preserve">Greifen Sie im OP einfach und schnell auf Online-Materialien zu:</t>
        </is>
      </c>
      <c r="J599" s="4"/>
      <c r="K599" s="2"/>
      <c r="L599" t="str" s="3">
        <f>HYPERLINK("https://www.getinge.com/de/produkte/maquet-corin/","/produkte/maquet-corin/")</f>
        <v>/produkte/maquet-corin/</v>
      </c>
    </row>
    <row r="600">
      <c r="A600" s="0">
        <v>599</v>
      </c>
      <c r="B600" t="str" s="3">
        <f>HYPERLINK("https://www.getinge.com/int/products/maquet-corin/","/products/maquet-corin/")</f>
        <v>/products/maquet-corin/</v>
      </c>
      <c r="C600" t="inlineStr" s="2">
        <is>
          <t xml:space="preserve">Turn insights in to best practice to identify trends for actions and improve training and drive efficiency</t>
        </is>
      </c>
      <c r="D600" t="inlineStr" s="2">
        <is>
          <t xml:space="preserve">Verwenden Sie Erkenntnisse in Best Practices, um Trends für Maßnahmen zu erkennen, Schulungen zu verbessern und die Effektivität zu steigern</t>
        </is>
      </c>
      <c r="E600" t="inlineStr" s="0">
        <is>
          <t xml:space="preserve">Medium</t>
        </is>
      </c>
      <c r="F600" s="4"/>
      <c r="G600" s="2"/>
      <c r="H600" s="2"/>
      <c r="I600" s="2"/>
      <c r="J600" s="4"/>
      <c r="K600" s="2"/>
      <c r="L600" t="str" s="3">
        <f>HYPERLINK("https://www.getinge.com/de/produkte/maquet-corin/","/produkte/maquet-corin/")</f>
        <v>/produkte/maquet-corin/</v>
      </c>
    </row>
    <row r="601">
      <c r="A601" s="0">
        <v>600</v>
      </c>
      <c r="B601" t="str" s="3">
        <f>HYPERLINK("https://www.getinge.com/int/products/maquet-corin/","/products/maquet-corin/")</f>
        <v>/products/maquet-corin/</v>
      </c>
      <c r="C601" t="inlineStr" s="2">
        <is>
          <t xml:space="preserve">Maximize device uptime in your OR</t>
        </is>
      </c>
      <c r="D601" t="inlineStr" s="2">
        <is>
          <t xml:space="preserve">Maximieren Sie die Geräteverfügbarkeit in Ihrem OP</t>
        </is>
      </c>
      <c r="E601" t="inlineStr" s="0">
        <is>
          <t xml:space="preserve">Medium</t>
        </is>
      </c>
      <c r="F601" s="4"/>
      <c r="G601" t="inlineStr" s="2">
        <is>
          <t xml:space="preserve">Schneller Remote-Support von Getinge</t>
        </is>
      </c>
      <c r="H601" t="inlineStr" s="2">
        <is>
          <t xml:space="preserve">Verfügbare und einsatzbereite Geräte</t>
        </is>
      </c>
      <c r="I601" t="inlineStr" s="2">
        <is>
          <t xml:space="preserve">Gebrauchsanweisung, HTML und PDF</t>
        </is>
      </c>
      <c r="J601" s="4"/>
      <c r="K601" s="2"/>
      <c r="L601" t="str" s="3">
        <f>HYPERLINK("https://www.getinge.com/de/produkte/maquet-corin/","/produkte/maquet-corin/")</f>
        <v>/produkte/maquet-corin/</v>
      </c>
    </row>
    <row r="602">
      <c r="A602" s="0">
        <v>601</v>
      </c>
      <c r="B602" t="str" s="3">
        <f>HYPERLINK("https://www.getinge.com/int/products/maquet-corin/","/products/maquet-corin/")</f>
        <v>/products/maquet-corin/</v>
      </c>
      <c r="C602" t="inlineStr" s="2">
        <is>
          <t xml:space="preserve">Easy service and maintenance</t>
        </is>
      </c>
      <c r="D602" t="inlineStr" s="2">
        <is>
          <t xml:space="preserve">Erleichtert Service und Wartung</t>
        </is>
      </c>
      <c r="E602" t="inlineStr" s="0">
        <is>
          <t xml:space="preserve">Medium</t>
        </is>
      </c>
      <c r="F602" s="4"/>
      <c r="G602" t="inlineStr" s="2">
        <is>
          <t xml:space="preserve">Gebrauchsanweisung, HTML und PDF</t>
        </is>
      </c>
      <c r="H602" t="inlineStr" s="2">
        <is>
          <t xml:space="preserve">Schneller Remote-Support von Getinge</t>
        </is>
      </c>
      <c r="I602" t="inlineStr" s="2">
        <is>
          <t xml:space="preserve">Verfügbare und einsatzbereite Geräte</t>
        </is>
      </c>
      <c r="J602" s="4"/>
      <c r="K602" s="2"/>
      <c r="L602" t="str" s="3">
        <f>HYPERLINK("https://www.getinge.com/de/produkte/maquet-corin/","/produkte/maquet-corin/")</f>
        <v>/produkte/maquet-corin/</v>
      </c>
    </row>
    <row r="603">
      <c r="A603" s="0">
        <v>602</v>
      </c>
      <c r="B603" t="str" s="3">
        <f>HYPERLINK("https://www.getinge.com/int/products/maquet-corin/","/products/maquet-corin/")</f>
        <v>/products/maquet-corin/</v>
      </c>
      <c r="C603" t="inlineStr" s="2">
        <is>
          <t xml:space="preserve">Quick remote support from Getinge</t>
        </is>
      </c>
      <c r="D603" t="inlineStr" s="2">
        <is>
          <t xml:space="preserve">Schneller Remote-Support von Getinge</t>
        </is>
      </c>
      <c r="E603" t="inlineStr" s="0">
        <is>
          <t xml:space="preserve">High</t>
        </is>
      </c>
      <c r="F603" s="4"/>
      <c r="G603" t="inlineStr" s="2">
        <is>
          <t xml:space="preserve">Verfügbare und einsatzbereite Geräte</t>
        </is>
      </c>
      <c r="H603" t="inlineStr" s="2">
        <is>
          <t xml:space="preserve">Gebrauchsanweisung, HTML und PDF</t>
        </is>
      </c>
      <c r="I603" t="inlineStr" s="2">
        <is>
          <t xml:space="preserve">Online über das FleetView-Webportal</t>
        </is>
      </c>
      <c r="J603" s="4"/>
      <c r="K603" s="2"/>
      <c r="L603" t="str" s="3">
        <f>HYPERLINK("https://www.getinge.com/de/produkte/maquet-corin/","/produkte/maquet-corin/")</f>
        <v>/produkte/maquet-corin/</v>
      </c>
    </row>
    <row r="604">
      <c r="A604" s="0">
        <v>603</v>
      </c>
      <c r="B604" t="str" s="3">
        <f>HYPERLINK("https://www.getinge.com/int/products/maquet-corin/","/products/maquet-corin/")</f>
        <v>/products/maquet-corin/</v>
      </c>
      <c r="C604" t="inlineStr" s="2">
        <is>
          <t xml:space="preserve">Machines up and running, ready to perform</t>
        </is>
      </c>
      <c r="D604" s="2"/>
      <c r="F604" s="4"/>
      <c r="G604" t="inlineStr" s="2">
        <is>
          <t xml:space="preserve">Maximieren Sie die Geräteverfügbarkeit in Ihrem OP</t>
        </is>
      </c>
      <c r="H604" t="inlineStr" s="2">
        <is>
          <t xml:space="preserve">Schneller Remote-Support von Getinge</t>
        </is>
      </c>
      <c r="I604" t="inlineStr" s="2">
        <is>
          <t xml:space="preserve">Verfügbare und einsatzbereite Geräte</t>
        </is>
      </c>
      <c r="J604" s="4"/>
      <c r="K604" s="2"/>
      <c r="L604" t="str" s="3">
        <f>HYPERLINK("https://www.getinge.com/de/produkte/maquet-corin/","/produkte/maquet-corin/")</f>
        <v>/produkte/maquet-corin/</v>
      </c>
    </row>
    <row r="605">
      <c r="A605" s="0">
        <v>604</v>
      </c>
      <c r="B605" t="str" s="3">
        <f>HYPERLINK("https://www.getinge.com/int/products/maquet-ezea/","/products/maquet-ezea/")</f>
        <v>/products/maquet-ezea/</v>
      </c>
      <c r="C605" t="inlineStr" s="2">
        <is>
          <t xml:space="preserve">Designed to assist your eyes with Eye Sensitive Response: each dimming step is seen by human eyes with the same amount of light difference, in order to provide a smooth and adapted range of illumination.</t>
        </is>
      </c>
      <c r="D605" s="2"/>
      <c r="F605" s="4"/>
      <c r="G605" t="inlineStr" s="2">
        <is>
          <t xml:space="preserve">Sie haben die Wahl zwischen festen oder einstellbaren Farbtemperaturen: hier lässt sich je nach Vorliebe warmes oder kaltes Weißlicht einstellen. Augen mit Eye Sensitive Response unterstützen: Jede der Dimmstufen wird vom menschlichen Auge als eine gleich große Reduktion der Beleuchtungsintensität wahrgenommen, wodurch eine gleichmäßige und angepasste Beleuchtung geschaffen wird.</t>
        </is>
      </c>
      <c r="H605" s="2"/>
      <c r="I605" s="2"/>
      <c r="J605" s="4"/>
      <c r="K605" s="2"/>
      <c r="L605" t="str" s="3">
        <f>HYPERLINK("https://www.getinge.com/de/produkte/maquet-ezea/","/produkte/maquet-ezea/")</f>
        <v>/produkte/maquet-ezea/</v>
      </c>
    </row>
    <row r="606">
      <c r="A606" s="0">
        <v>605</v>
      </c>
      <c r="B606" t="str" s="3">
        <f>HYPERLINK("https://www.getinge.com/int/products/maquet-lucea/","/products/maquet-lucea/")</f>
        <v>/products/maquet-lucea/</v>
      </c>
      <c r="C606" t="inlineStr" s="2">
        <is>
          <t xml:space="preserve">ENT</t>
        </is>
      </c>
      <c r="D606" s="2"/>
      <c r="F606" s="4"/>
      <c r="G606" t="inlineStr" s="2">
        <is>
          <t xml:space="preserve">Notaufnahme</t>
        </is>
      </c>
      <c r="H606" s="2"/>
      <c r="I606" s="2"/>
      <c r="J606" s="4"/>
      <c r="K606" s="2"/>
      <c r="L606" t="str" s="3">
        <f>HYPERLINK("https://www.getinge.com/de/produkte/maquet-lucea/","/produkte/maquet-lucea/")</f>
        <v>/produkte/maquet-lucea/</v>
      </c>
    </row>
    <row r="607">
      <c r="A607" s="0">
        <v>606</v>
      </c>
      <c r="B607" t="str" s="3">
        <f>HYPERLINK("https://www.getinge.com/int/products/maquet-lucea/","/products/maquet-lucea/")</f>
        <v>/products/maquet-lucea/</v>
      </c>
      <c r="C607" t="inlineStr" s="2">
        <is>
          <t xml:space="preserve">Provides targeted lighting for examination of the ear canal, nasal passages, or the throat.</t>
        </is>
      </c>
      <c r="D607" s="2"/>
      <c r="F607" s="4"/>
      <c r="G607" t="inlineStr" s="2">
        <is>
          <t xml:space="preserve">Bietet gezielte Beleuchtung für die Untersuchung des Gehörgangs, der Nasengänge oder des Rachenraums.</t>
        </is>
      </c>
      <c r="H607" t="inlineStr" s="2">
        <is>
          <t xml:space="preserve">Unterstützt die Untersuchung und Behandlung von Tieren und trägt zu einer präzisen Diagnose und Therapie bei.</t>
        </is>
      </c>
      <c r="I607" t="inlineStr" s="2">
        <is>
          <t xml:space="preserve">Sorgt in der Notaufnahme für helles, fokussiertes Licht zur Beurteilung und Versorgung von Traumapatientinnen und -patienten.</t>
        </is>
      </c>
      <c r="J607" s="4"/>
      <c r="K607" s="2"/>
      <c r="L607" t="str" s="3">
        <f>HYPERLINK("https://www.getinge.com/de/produkte/maquet-lucea/","/produkte/maquet-lucea/")</f>
        <v>/produkte/maquet-lucea/</v>
      </c>
    </row>
    <row r="608">
      <c r="A608" s="0">
        <v>607</v>
      </c>
      <c r="B608" t="str" s="3">
        <f>HYPERLINK("https://www.getinge.com/int/products/maquet-lucea/","/products/maquet-lucea/")</f>
        <v>/products/maquet-lucea/</v>
      </c>
      <c r="C608" t="inlineStr" s="2">
        <is>
          <t xml:space="preserve">Emergency</t>
        </is>
      </c>
      <c r="D608" s="2"/>
      <c r="F608" s="4"/>
      <c r="G608" t="inlineStr" s="2">
        <is>
          <t xml:space="preserve">Notaufnahme</t>
        </is>
      </c>
      <c r="H608" t="inlineStr" s="2">
        <is>
          <t xml:space="preserve">Veterinärmedizin</t>
        </is>
      </c>
      <c r="I608" t="inlineStr" s="2">
        <is>
          <t xml:space="preserve">Intensivstationen</t>
        </is>
      </c>
      <c r="J608" s="4"/>
      <c r="K608" s="2"/>
      <c r="L608" t="str" s="3">
        <f>HYPERLINK("https://www.getinge.com/de/produkte/maquet-lucea/","/produkte/maquet-lucea/")</f>
        <v>/produkte/maquet-lucea/</v>
      </c>
    </row>
    <row r="609">
      <c r="A609" s="0">
        <v>608</v>
      </c>
      <c r="B609" t="str" s="3">
        <f>HYPERLINK("https://www.getinge.com/int/products/maquet-lucea/","/products/maquet-lucea/")</f>
        <v>/products/maquet-lucea/</v>
      </c>
      <c r="C609" t="inlineStr" s="2">
        <is>
          <t xml:space="preserve">Provides bright and focused light in emergency rooms for assessing and treating trauma patients.</t>
        </is>
      </c>
      <c r="D609" t="inlineStr" s="2">
        <is>
          <t xml:space="preserve">Sorgt in der Notaufnahme für helles, fokussiertes Licht zur Beurteilung und Versorgung von Traumapatientinnen und -patienten.</t>
        </is>
      </c>
      <c r="E609" t="inlineStr" s="0">
        <is>
          <t xml:space="preserve">Medium</t>
        </is>
      </c>
      <c r="F609" s="4"/>
      <c r="G609" t="inlineStr" s="2">
        <is>
          <t xml:space="preserve">Unterstützt die Untersuchung und Behandlung von Tieren und trägt zu einer präzisen Diagnose und Therapie bei.</t>
        </is>
      </c>
      <c r="H609" t="inlineStr" s="2">
        <is>
          <t xml:space="preserve">Bietet gezielte Beleuchtung für die Untersuchung des Gehörgangs, der Nasengänge oder des Rachenraums.</t>
        </is>
      </c>
      <c r="I609" t="inlineStr" s="2">
        <is>
          <t xml:space="preserve">In Kombination mit unserer Moduevo Deckenversorgungseinheit eignet sich die Leuchte für Behandlungen und kleinere chirurgische Eingriffe.</t>
        </is>
      </c>
      <c r="J609" s="4"/>
      <c r="K609" s="2"/>
      <c r="L609" t="str" s="3">
        <f>HYPERLINK("https://www.getinge.com/de/produkte/maquet-lucea/","/produkte/maquet-lucea/")</f>
        <v>/produkte/maquet-lucea/</v>
      </c>
    </row>
    <row r="610">
      <c r="A610" s="0">
        <v>609</v>
      </c>
      <c r="B610" t="str" s="3">
        <f>HYPERLINK("https://www.getinge.com/int/products/maquet-lucea/","/products/maquet-lucea/")</f>
        <v>/products/maquet-lucea/</v>
      </c>
      <c r="C610" t="inlineStr" s="2">
        <is>
          <t xml:space="preserve">Veterinary medicine</t>
        </is>
      </c>
      <c r="D610" t="inlineStr" s="2">
        <is>
          <t xml:space="preserve">Veterinärmedizin</t>
        </is>
      </c>
      <c r="E610" t="inlineStr" s="0">
        <is>
          <t xml:space="preserve">High</t>
        </is>
      </c>
      <c r="F610" s="4"/>
      <c r="G610" t="inlineStr" s="2">
        <is>
          <t xml:space="preserve">Intensivstationen</t>
        </is>
      </c>
      <c r="H610" t="inlineStr" s="2">
        <is>
          <t xml:space="preserve">Hals-Nasen-Ohren-Heilkunde (HNO)</t>
        </is>
      </c>
      <c r="I610" t="inlineStr" s="2">
        <is>
          <t xml:space="preserve">Notaufnahme</t>
        </is>
      </c>
      <c r="J610" s="4"/>
      <c r="K610" s="2"/>
      <c r="L610" t="str" s="3">
        <f>HYPERLINK("https://www.getinge.com/de/produkte/maquet-lucea/","/produkte/maquet-lucea/")</f>
        <v>/produkte/maquet-lucea/</v>
      </c>
    </row>
    <row r="611">
      <c r="A611" s="0">
        <v>610</v>
      </c>
      <c r="B611" t="str" s="3">
        <f>HYPERLINK("https://www.getinge.com/int/products/maquet-lucea/","/products/maquet-lucea/")</f>
        <v>/products/maquet-lucea/</v>
      </c>
      <c r="C611" t="inlineStr" s="2">
        <is>
          <t xml:space="preserve">For examining and treating animals, ensuring accurate diagnosis and treatment.</t>
        </is>
      </c>
      <c r="D611" t="inlineStr" s="2">
        <is>
          <t xml:space="preserve">Unterstützt die Untersuchung und Behandlung von Tieren und trägt zu einer präzisen Diagnose und Therapie bei.</t>
        </is>
      </c>
      <c r="E611" t="inlineStr" s="0">
        <is>
          <t xml:space="preserve">Low</t>
        </is>
      </c>
      <c r="F611" s="4"/>
      <c r="G611" t="inlineStr" s="2">
        <is>
          <t xml:space="preserve">Bietet gezielte Beleuchtung für die Untersuchung des Gehörgangs, der Nasengänge oder des Rachenraums.</t>
        </is>
      </c>
      <c r="H611" t="inlineStr" s="2">
        <is>
          <t xml:space="preserve">Sorgt in der Notaufnahme für helles, fokussiertes Licht zur Beurteilung und Versorgung von Traumapatientinnen und -patienten.</t>
        </is>
      </c>
      <c r="I611" t="inlineStr" s="2">
        <is>
          <t xml:space="preserve">In Kombination mit unserer Moduevo Deckenversorgungseinheit eignet sich die Leuchte für Behandlungen und kleinere chirurgische Eingriffe.</t>
        </is>
      </c>
      <c r="J611" s="4"/>
      <c r="K611" s="2"/>
      <c r="L611" t="str" s="3">
        <f>HYPERLINK("https://www.getinge.com/de/produkte/maquet-lucea/","/produkte/maquet-lucea/")</f>
        <v>/produkte/maquet-lucea/</v>
      </c>
    </row>
    <row r="612">
      <c r="A612" s="0">
        <v>611</v>
      </c>
      <c r="B612" t="str" s="3">
        <f>HYPERLINK("https://www.getinge.com/int/products/maquet-lucea/","/products/maquet-lucea/")</f>
        <v>/products/maquet-lucea/</v>
      </c>
      <c r="C612" t="inlineStr" s="2">
        <is>
          <t xml:space="preserve">Intensive Care Units</t>
        </is>
      </c>
      <c r="D612" t="inlineStr" s="2">
        <is>
          <t xml:space="preserve">Intensivstationen</t>
        </is>
      </c>
      <c r="E612" t="inlineStr" s="0">
        <is>
          <t xml:space="preserve">Medium</t>
        </is>
      </c>
      <c r="F612" s="4"/>
      <c r="G612" t="inlineStr" s="2">
        <is>
          <t xml:space="preserve">Hals-Nasen-Ohren-Heilkunde (HNO)</t>
        </is>
      </c>
      <c r="H612" t="inlineStr" s="2">
        <is>
          <t xml:space="preserve">Veterinärmedizin</t>
        </is>
      </c>
      <c r="I612" t="inlineStr" s="2">
        <is>
          <t xml:space="preserve">Notaufnahme</t>
        </is>
      </c>
      <c r="J612" s="4"/>
      <c r="K612" s="2"/>
      <c r="L612" t="str" s="3">
        <f>HYPERLINK("https://www.getinge.com/de/produkte/maquet-lucea/","/produkte/maquet-lucea/")</f>
        <v>/produkte/maquet-lucea/</v>
      </c>
    </row>
    <row r="613">
      <c r="A613" s="0">
        <v>612</v>
      </c>
      <c r="B613" t="str" s="3">
        <f>HYPERLINK("https://www.getinge.com/int/products/maquet-lucea/","/products/maquet-lucea/")</f>
        <v>/products/maquet-lucea/</v>
      </c>
      <c r="C613" t="inlineStr" s="2">
        <is>
          <t xml:space="preserve">Attached to our Moduevo ceiling supply unit, it is suitable for treatment and minor surgery.</t>
        </is>
      </c>
      <c r="D613" s="2"/>
      <c r="F613" s="4"/>
      <c r="G613" t="inlineStr" s="2">
        <is>
          <t xml:space="preserve">Unterstützt die Untersuchung und Behandlung von Tieren und trägt zu einer präzisen Diagnose und Therapie bei.</t>
        </is>
      </c>
      <c r="H613" t="inlineStr" s="2">
        <is>
          <t xml:space="preserve">Bietet gezielte Beleuchtung für die Untersuchung des Gehörgangs, der Nasengänge oder des Rachenraums.</t>
        </is>
      </c>
      <c r="I613" t="inlineStr" s="2">
        <is>
          <t xml:space="preserve">In Kombination mit unserer Moduevo Deckenversorgungseinheit eignet sich die Leuchte für Behandlungen und kleinere chirurgische Eingriffe.</t>
        </is>
      </c>
      <c r="J613" s="4"/>
      <c r="K613" s="2"/>
      <c r="L613" t="str" s="3">
        <f>HYPERLINK("https://www.getinge.com/de/produkte/maquet-lucea/","/produkte/maquet-lucea/")</f>
        <v>/produkte/maquet-lucea/</v>
      </c>
    </row>
    <row r="614">
      <c r="A614" s="0">
        <v>613</v>
      </c>
      <c r="B614" t="str" s="3">
        <f>HYPERLINK("https://www.getinge.com/int/products/maquet-lucea/","/products/maquet-lucea/")</f>
        <v>/products/maquet-lucea/</v>
      </c>
      <c r="C614" t="inlineStr" s="2">
        <is>
          <t xml:space="preserve">Thanks to a dedicated adapter, Maquet Lucea 40 &amp; 50 can be attached to our Moduevo ceiling supply unit range in ICUs, allowing for treatment and minor surgery.</t>
        </is>
      </c>
      <c r="D614" t="inlineStr" s="2">
        <is>
          <t xml:space="preserve">Dank eines speziellen Adapters können die Maquet Lucea 40 und 50 an unsere Moduevo Deckenversorgungseinheiten in Intensivstationen angebracht werden. Dadurch eignen sie sich für Behandlungen und kleinere chirurgische Eingriffe.</t>
        </is>
      </c>
      <c r="E614" t="inlineStr" s="0">
        <is>
          <t xml:space="preserve">Medium</t>
        </is>
      </c>
      <c r="F614" s="4"/>
      <c r="G614" t="inlineStr" s="2">
        <is>
          <t xml:space="preserve">Für die Anpassung der Lichtintensität stehen bei der Lucea 50 fünf Dimmstufen zur Verfügung. Die Beleuchtungsstärke kann dabei von 15.000 bis 60.000 Lux eingestellt werden.</t>
        </is>
      </c>
      <c r="H614" t="inlineStr" s="2">
        <is>
          <t xml:space="preserve">Darüber hinaus ist die Maquet Lucea 50 mit einem sterilisierbaren Griff ausgestattet, der bis zu 350 Sterilisationszyklen standhält.</t>
        </is>
      </c>
      <c r="I614" s="2"/>
      <c r="J614" s="4"/>
      <c r="K614" s="2"/>
      <c r="L614" t="str" s="3">
        <f>HYPERLINK("https://www.getinge.com/de/produkte/maquet-lucea/","/produkte/maquet-lucea/")</f>
        <v>/produkte/maquet-lucea/</v>
      </c>
    </row>
    <row r="615">
      <c r="A615" s="0">
        <v>614</v>
      </c>
      <c r="B615" t="str" s="3">
        <f>HYPERLINK("https://www.getinge.com/int/products/maquet-lucea/","/products/maquet-lucea/")</f>
        <v>/products/maquet-lucea/</v>
      </c>
      <c r="C615" t="inlineStr" s="2">
        <is>
          <t xml:space="preserve">Maquet Lucea 50 is equipped with a remote control to adjust the illumination level from anywhere in the room, allowing for time savings and improved workflow for nurses, as the settings can be controlled without disturbing the patient.</t>
        </is>
      </c>
      <c r="D615" t="inlineStr" s="2">
        <is>
          <t xml:space="preserve">Die Maquet Lucea 50 verfügt über eine Fernbedienung, mit der sich die Beleuchtungsstärke von jedem Punkt im Raum aus anpassen lässt. Dies spart Zeit und unterstützt effizientere Arbeitsabläufe, da Einstellungen vorgenommen werden können, ohne die Patientin oder den Patienten zu stören.</t>
        </is>
      </c>
      <c r="E615" t="inlineStr" s="0">
        <is>
          <t xml:space="preserve">Medium</t>
        </is>
      </c>
      <c r="F615" s="4"/>
      <c r="G615" t="inlineStr" s="2">
        <is>
          <t xml:space="preserve">Dank eines speziellen Adapters können die Maquet Lucea 40 und 50 an unsere Moduevo Deckenversorgungseinheiten in Intensivstationen angebracht werden. Dadurch eignen sie sich für Behandlungen und kleinere chirurgische Eingriffe.</t>
        </is>
      </c>
      <c r="H615" s="2"/>
      <c r="I615" s="2"/>
      <c r="J615" s="4"/>
      <c r="K615" s="2"/>
      <c r="L615" t="str" s="3">
        <f>HYPERLINK("https://www.getinge.com/de/produkte/maquet-lucea/","/produkte/maquet-lucea/")</f>
        <v>/produkte/maquet-lucea/</v>
      </c>
    </row>
    <row r="616">
      <c r="A616" s="0">
        <v>615</v>
      </c>
      <c r="B616" t="str" s="3">
        <f>HYPERLINK("https://www.getinge.com/int/products/maquet-lucea/","/products/maquet-lucea/")</f>
        <v>/products/maquet-lucea/</v>
      </c>
      <c r="C616" t="inlineStr" s="2">
        <is>
          <t xml:space="preserve">Five dimming steps are available on Lucea 50 to adjust the lighting intensity from 15,000 to 60,000 Lux. Maquet Lucea 50 is also equipped with a sterilizable handle which can support up to 350 sterilization cycles.</t>
        </is>
      </c>
      <c r="D616" s="2"/>
      <c r="F616" s="4"/>
      <c r="G616" t="inlineStr" s="2">
        <is>
          <t xml:space="preserve">Dank eines speziellen Adapters können die Maquet Lucea 40 und 50 an unsere Moduevo Deckenversorgungseinheiten in Intensivstationen angebracht werden. Dadurch eignen sie sich für Behandlungen und kleinere chirurgische Eingriffe.</t>
        </is>
      </c>
      <c r="H616" t="inlineStr" s="2">
        <is>
          <t xml:space="preserve">Die Maquet Lucea 50 verfügt über eine Fernbedienung, mit der sich die Beleuchtungsstärke von jedem Punkt im Raum aus anpassen lässt. Dies spart Zeit und unterstützt effizientere Arbeitsabläufe, da Einstellungen vorgenommen werden können, ohne die Patientin oder den Patienten zu stören.</t>
        </is>
      </c>
      <c r="I616" t="inlineStr" s="2">
        <is>
          <t xml:space="preserve">Für die Anpassung der Lichtintensität stehen bei der Lucea 50 fünf Dimmstufen zur Verfügung. Die Beleuchtungsstärke kann dabei von 15.000 bis 60.000 Lux eingestellt werden.</t>
        </is>
      </c>
      <c r="J616" s="4"/>
      <c r="K616" s="2"/>
      <c r="L616" t="str" s="3">
        <f>HYPERLINK("https://www.getinge.com/de/produkte/maquet-lucea/","/produkte/maquet-lucea/")</f>
        <v>/produkte/maquet-lucea/</v>
      </c>
    </row>
    <row r="617">
      <c r="A617" s="0">
        <v>616</v>
      </c>
      <c r="B617" t="str" s="3">
        <f>HYPERLINK("https://www.getinge.com/int/products/maquet-magnus-operating-table-system/","/products/maquet-magnus-operating-table-system/")</f>
        <v>/products/maquet-magnus-operating-table-system/</v>
      </c>
      <c r="C617" t="inlineStr" s="2">
        <is>
          <t xml:space="preserve">Carbon fiber plate for lithotomy position</t>
        </is>
      </c>
      <c r="D617" t="inlineStr" s="2">
        <is>
          <t xml:space="preserve">CFK-Ansteckplatte für Steinschnittlagerung</t>
        </is>
      </c>
      <c r="E617" t="inlineStr" s="0">
        <is>
          <t xml:space="preserve">Low</t>
        </is>
      </c>
      <c r="F617" s="4"/>
      <c r="G617" s="2"/>
      <c r="H617" s="2"/>
      <c r="I617" s="2"/>
      <c r="J617" s="4"/>
      <c r="K617" s="2"/>
      <c r="L617" t="str" s="3">
        <f>HYPERLINK("https://www.getinge.com/de/produkte/maquet-magnus/","/produkte/maquet-magnus/")</f>
        <v>/produkte/maquet-magnus/</v>
      </c>
    </row>
    <row r="618">
      <c r="A618" s="0">
        <v>617</v>
      </c>
      <c r="B618" t="str" s="3">
        <f>HYPERLINK("https://www.getinge.com/int/products/maquet-magnus-operating-table-system/","/products/maquet-magnus-operating-table-system/")</f>
        <v>/products/maquet-magnus-operating-table-system/</v>
      </c>
      <c r="C618" t="inlineStr" s="2">
        <is>
          <t xml:space="preserve">The carbon fiber lithotomy plate extends the use of the Maquet Magnus Operating Table, supporting minimally invasive surgery (MIS) in the lithotomy position. With a large imaging range, the lithotomy plate improves visibility throughout the abdomen, from the pelvis to the liver.</t>
        </is>
      </c>
      <c r="D618" s="2"/>
      <c r="F618" s="4"/>
      <c r="G618" t="inlineStr" s="2">
        <is>
          <t xml:space="preserve">Die CFK-Ansteckplatte für Steinschnittlagerung erweitert den Einsatzbereich des Maquet Magnus OP-Tisches für minimalinvasive Eingriffe (MIC) in der Steinschnittlage. Mit ihrem großen Bildgebungsbereich verbessert die Ansteckplatte für Steinschnittlagerung die Sichtbarkeit im gesamten Abdomen, vom Becken bis zur Leber. Der gute Zugang für die intraoperative Bildgebung kann die Behandlungsergebnisse bei gynäkologischen, urologischen und onkologischen Eingriffen verbessern. Ein Ausschnitt ermöglicht den Zutritt zum Beckenbereich für einen leichten Zugang während der Operation und erleichtert die Ergonomie für das OP-Personal. Vorhandenes Getinge Zubehör ist mit der Ansteckplatte für Steinschnittlagerung kompatibel.</t>
        </is>
      </c>
      <c r="H618" s="2"/>
      <c r="I618" s="2"/>
      <c r="J618" s="4"/>
      <c r="K618" s="2"/>
      <c r="L618" t="str" s="3">
        <f>HYPERLINK("https://www.getinge.com/de/produkte/maquet-magnus/","/produkte/maquet-magnus/")</f>
        <v>/produkte/maquet-magnus/</v>
      </c>
    </row>
    <row r="619">
      <c r="A619" s="0">
        <v>618</v>
      </c>
      <c r="B619" t="str" s="3">
        <f>HYPERLINK("https://www.getinge.com/int/products/maquet-magnus-operating-table-system/","/products/maquet-magnus-operating-table-system/")</f>
        <v>/products/maquet-magnus-operating-table-system/</v>
      </c>
      <c r="C619" t="inlineStr" s="2">
        <is>
          <t xml:space="preserve">Enhanced intraoperative visibility can improve patient outcomes for gynecology, urology, and oncology procedures. A cut out area improves access to the pelvic area for easier access during surgery, improving ergonomic positioning for the surgical staff. Existing Getinge accessories are compatible with the lithotomy plate.</t>
        </is>
      </c>
      <c r="D619" s="2"/>
      <c r="F619" s="4"/>
      <c r="G619" t="inlineStr" s="2">
        <is>
          <t xml:space="preserve">Die CFK-Ansteckplatte für Steinschnittlagerung erweitert den Einsatzbereich des Maquet Magnus OP-Tisches für minimalinvasive Eingriffe (MIC) in der Steinschnittlage. Mit ihrem großen Bildgebungsbereich verbessert die Ansteckplatte für Steinschnittlagerung die Sichtbarkeit im gesamten Abdomen, vom Becken bis zur Leber. Der gute Zugang für die intraoperative Bildgebung kann die Behandlungsergebnisse bei gynäkologischen, urologischen und onkologischen Eingriffen verbessern. Ein Ausschnitt ermöglicht den Zutritt zum Beckenbereich für einen leichten Zugang während der Operation und erleichtert die Ergonomie für das OP-Personal. Vorhandenes Getinge Zubehör ist mit der Ansteckplatte für Steinschnittlagerung kompatibel.</t>
        </is>
      </c>
      <c r="H619" s="2"/>
      <c r="I619" s="2"/>
      <c r="J619" s="4"/>
      <c r="K619" s="2"/>
      <c r="L619" t="str" s="3">
        <f>HYPERLINK("https://www.getinge.com/de/produkte/maquet-magnus/","/produkte/maquet-magnus/")</f>
        <v>/produkte/maquet-magnus/</v>
      </c>
    </row>
    <row r="620">
      <c r="A620" s="0">
        <v>619</v>
      </c>
      <c r="B620" t="str" s="3">
        <f>HYPERLINK("https://www.getinge.com/int/products/maquet-magnus-operating-table-system/","/products/maquet-magnus-operating-table-system/")</f>
        <v>/products/maquet-magnus-operating-table-system/</v>
      </c>
      <c r="C620" t="inlineStr" s="2">
        <is>
          <t xml:space="preserve">Interventions in the Hybrid OR</t>
        </is>
      </c>
      <c r="D620" t="inlineStr" s="2">
        <is>
          <t xml:space="preserve">Eingriffe im Hybrid-OP</t>
        </is>
      </c>
      <c r="E620" t="inlineStr" s="0">
        <is>
          <t xml:space="preserve">Medium</t>
        </is>
      </c>
      <c r="F620" s="4"/>
      <c r="G620" t="inlineStr" s="2">
        <is>
          <t xml:space="preserve">CFK-Ansteckplatte für Steinschnittlagerung</t>
        </is>
      </c>
      <c r="H620" s="2"/>
      <c r="I620" s="2"/>
      <c r="J620" s="4"/>
      <c r="K620" s="2"/>
      <c r="L620" t="str" s="3">
        <f>HYPERLINK("https://www.getinge.com/de/produkte/maquet-magnus/","/produkte/maquet-magnus/")</f>
        <v>/produkte/maquet-magnus/</v>
      </c>
    </row>
    <row r="621">
      <c r="A621" s="0">
        <v>620</v>
      </c>
      <c r="B621" t="str" s="3">
        <f>HYPERLINK("https://www.getinge.com/int/products/maquet-magnus-operating-table-system/","/products/maquet-magnus-operating-table-system/")</f>
        <v>/products/maquet-magnus-operating-table-system/</v>
      </c>
      <c r="C621" t="inlineStr" s="2">
        <is>
          <t xml:space="preserve">The carbon-fiber table top of Maquet Magnus supports interventions in endovascular and cardiovascular surgery as well as in interventional radiology, orthopedics and traumatology. The table top provides 360° radiolucency and therefore gives optimum X-ray access. When deployed for interdisciplinary use, the diagnostic requirements of neurosurgery, orthopedics and traumatology are also covered. Available interfaces to common imaging partners offer perfect synchronization with imaging equipment.</t>
        </is>
      </c>
      <c r="D621" t="inlineStr" s="2">
        <is>
          <t xml:space="preserve">Die CFK-Lagerfläche des Maquet Magnus unterstützt Interventionen bei endovaskulären und kardiovaskulären Operationen sowie in der interventionellen Radiologie, Orthopädie und Traumatologie. Die Lagerfläche bietet 360°-Durchleuchtbarkeit und daher optimalen Röntgenzugang. Beim interdisziplinären Einsatz werden die diagnostischen Anforderungen der Neurochirurgie, Orthopädie und Traumatologie ebenfalls erfüllt. Verfügbare Schnittstellen zu den wichtigsten Röntgengeräteherstellern bieten die perfekte Synchronisierung mit den Bildgebungssystemen.</t>
        </is>
      </c>
      <c r="E621" t="inlineStr" s="0">
        <is>
          <t xml:space="preserve">High</t>
        </is>
      </c>
      <c r="F621" s="4"/>
      <c r="G621" t="inlineStr" s="2">
        <is>
          <t xml:space="preserve">Die CFK-Ansteckplatte für Steinschnittlagerung erweitert den Einsatzbereich des Maquet Magnus OP-Tisches für minimalinvasive Eingriffe (MIC) in der Steinschnittlage. Mit ihrem großen Bildgebungsbereich verbessert die Ansteckplatte für Steinschnittlagerung die Sichtbarkeit im gesamten Abdomen, vom Becken bis zur Leber. Der gute Zugang für die intraoperative Bildgebung kann die Behandlungsergebnisse bei gynäkologischen, urologischen und onkologischen Eingriffen verbessern. Ein Ausschnitt ermöglicht den Zutritt zum Beckenbereich für einen leichten Zugang während der Operation und erleichtert die Ergonomie für das OP-Personal. Vorhandenes Getinge Zubehör ist mit der Ansteckplatte für Steinschnittlagerung kompatibel.</t>
        </is>
      </c>
      <c r="H621" s="2"/>
      <c r="I621" s="2"/>
      <c r="J621" s="4"/>
      <c r="K621" s="2"/>
      <c r="L621" t="str" s="3">
        <f>HYPERLINK("https://www.getinge.com/de/produkte/maquet-magnus/","/produkte/maquet-magnus/")</f>
        <v>/produkte/maquet-magnus/</v>
      </c>
    </row>
    <row r="622">
      <c r="A622" s="0">
        <v>621</v>
      </c>
      <c r="B622" t="str" s="3">
        <f>HYPERLINK("https://www.getinge.com/int/products/maquet-meera/","/products/maquet-meera/")</f>
        <v>/products/maquet-meera/</v>
      </c>
      <c r="C622" t="inlineStr" s="2">
        <is>
          <t xml:space="preserve">Maquet Meera – full feature set</t>
        </is>
      </c>
      <c r="D622" s="2"/>
      <c r="F622" s="4"/>
      <c r="G622" t="inlineStr" s="2">
        <is>
          <t xml:space="preserve">Der Maquet Meera CL OP-Tisch besitzt ein flexibles und mobiles Design, das perfekt auf ambulante OP-Zentren abgestimmt ist.</t>
        </is>
      </c>
      <c r="H622" s="2"/>
      <c r="I622" s="2"/>
      <c r="J622" s="4"/>
      <c r="K622" s="2"/>
      <c r="L622" t="str" s="3">
        <f>HYPERLINK("https://www.getinge.com/de/produkte/maquet-meera/","/produkte/maquet-meera/")</f>
        <v>/produkte/maquet-meera/</v>
      </c>
    </row>
    <row r="623">
      <c r="A623" s="0">
        <v>622</v>
      </c>
      <c r="B623" t="str" s="3">
        <f>HYPERLINK("https://www.getinge.com/int/products/maquet-meera/","/products/maquet-meera/")</f>
        <v>/products/maquet-meera/</v>
      </c>
      <c r="C623" t="inlineStr" s="2">
        <is>
          <t xml:space="preserve">The Maquet Meera operating table offers a motorized longitudinal shift that delivers a large radiolucent area for gynecological or urological surgery, without an added seat plate extension.</t>
        </is>
      </c>
      <c r="D623" t="inlineStr" s="2">
        <is>
          <t xml:space="preserve">Der Maquet Meera OP-Tisch ist mit einer motorbetriebenen Längsverschiebung ausgestattet, mit deren Hilfe ein großer durchleuchtbarer Bereich für gynäkologische und urologische Eingriffe ohne zusätzliche Sitzplattenverlängerung zur Verfügung steh</t>
        </is>
      </c>
      <c r="E623" t="inlineStr" s="0">
        <is>
          <t xml:space="preserve">Medium</t>
        </is>
      </c>
      <c r="F623" s="4"/>
      <c r="G623" t="inlineStr" s="2">
        <is>
          <t xml:space="preserve">Der Maquet Meera CL OP-Tisch besitzt ein flexibles und mobiles Design, das perfekt auf ambulante OP-Zentren abgestimmt ist.</t>
        </is>
      </c>
      <c r="H623" s="2"/>
      <c r="I623" s="2"/>
      <c r="J623" s="4"/>
      <c r="K623" s="2"/>
      <c r="L623" t="str" s="3">
        <f>HYPERLINK("https://www.getinge.com/de/produkte/maquet-meera/","/produkte/maquet-meera/")</f>
        <v>/produkte/maquet-meera/</v>
      </c>
    </row>
    <row r="624">
      <c r="A624" s="0">
        <v>623</v>
      </c>
      <c r="B624" t="str" s="3">
        <f>HYPERLINK("https://www.getinge.com/int/products/maquet-meera/","/products/maquet-meera/")</f>
        <v>/products/maquet-meera/</v>
      </c>
      <c r="C624" t="inlineStr" s="2">
        <is>
          <t xml:space="preserve">Maquet Meera CL – simplified base</t>
        </is>
      </c>
      <c r="D624" s="2"/>
      <c r="F624" s="4"/>
      <c r="G624" t="inlineStr" s="2">
        <is>
          <t xml:space="preserve">Der Maquet Meera CL OP-Tisch besitzt ein flexibles und mobiles Design, das perfekt auf ambulante OP-Zentren abgestimmt ist.</t>
        </is>
      </c>
      <c r="H624" s="2"/>
      <c r="I624" s="2"/>
      <c r="J624" s="4"/>
      <c r="K624" s="2"/>
      <c r="L624" t="str" s="3">
        <f>HYPERLINK("https://www.getinge.com/de/produkte/maquet-meera/","/produkte/maquet-meera/")</f>
        <v>/produkte/maquet-meera/</v>
      </c>
    </row>
    <row r="625">
      <c r="A625" s="0">
        <v>624</v>
      </c>
      <c r="B625" t="str" s="3">
        <f>HYPERLINK("https://www.getinge.com/int/products/maquet-meera/","/products/maquet-meera/")</f>
        <v>/products/maquet-meera/</v>
      </c>
      <c r="C625" t="inlineStr" s="2">
        <is>
          <t xml:space="preserve">The newest member of the Maquet Meera family is the Maquet Meera CL surgical table, featuring a versatile and mobile design that is ideal for out-patient surgery centers.</t>
        </is>
      </c>
      <c r="D625" t="inlineStr" s="2">
        <is>
          <t xml:space="preserve">Der Maquet Meera CL OP-Tisch besitzt ein flexibles und mobiles Design, das perfekt auf ambulante OP-Zentren abgestimmt ist.</t>
        </is>
      </c>
      <c r="E625" t="inlineStr" s="0">
        <is>
          <t xml:space="preserve">Low</t>
        </is>
      </c>
      <c r="F625" s="4"/>
      <c r="G625" t="inlineStr" s="2">
        <is>
          <t xml:space="preserve">Der Maquet Meera OP-Tisch ist mit einer motorbetriebenen Längsverschiebung ausgestattet, mit deren Hilfe ein großer durchleuchtbarer Bereich für gynäkologische und urologische Eingriffe ohne zusätzliche Sitzplattenverlängerung zur Verfügung steh</t>
        </is>
      </c>
      <c r="H625" s="2"/>
      <c r="I625" s="2"/>
      <c r="J625" s="4"/>
      <c r="K625" s="2"/>
      <c r="L625" t="str" s="3">
        <f>HYPERLINK("https://www.getinge.com/de/produkte/maquet-meera/","/produkte/maquet-meera/")</f>
        <v>/produkte/maquet-meera/</v>
      </c>
    </row>
    <row r="626">
      <c r="A626" s="0">
        <v>625</v>
      </c>
      <c r="B626" t="str" s="3">
        <f>HYPERLINK("https://www.getinge.com/int/products/maquet-moduevo-operating-rooms-solutions/","/products/maquet-moduevo-operating-rooms-solutions/")</f>
        <v>/products/maquet-moduevo-operating-rooms-solutions/</v>
      </c>
      <c r="C626" t="inlineStr" s="2">
        <is>
          <t xml:space="preserve">Up to 350 kg / 771 lbs loading capacity can carry all essential endoscopy equipment.</t>
        </is>
      </c>
      <c r="D626" s="2"/>
      <c r="F626" s="4"/>
      <c r="G626" t="inlineStr" s="2">
        <is>
          <t xml:space="preserve">Die Tragkraft von bis zu 350 kg ermöglicht darüber hinaus die Einplanung von Gewichtsreserven für zukünftige Geräte.</t>
        </is>
      </c>
      <c r="H626" t="inlineStr" s="2">
        <is>
          <t xml:space="preserve">Monitorarme am Versorgungsmodul oder an der Unterkonstruktion für bis zu 32"-Monitore.</t>
        </is>
      </c>
      <c r="I626" s="2"/>
      <c r="J626" s="4"/>
      <c r="K626" s="2"/>
      <c r="L626" t="str" s="3">
        <f>HYPERLINK("https://www.getinge.com/de/produkte/maquet-moduevo-op-bereich/","/produkte/maquet-moduevo-op-bereich/")</f>
        <v>/produkte/maquet-moduevo-op-bereich/</v>
      </c>
    </row>
    <row r="627">
      <c r="A627" s="0">
        <v>626</v>
      </c>
      <c r="B627" t="str" s="3">
        <f>HYPERLINK("https://www.getinge.com/int/products/maquet-moduevo-operating-rooms-solutions/","/products/maquet-moduevo-operating-rooms-solutions/")</f>
        <v>/products/maquet-moduevo-operating-rooms-solutions/</v>
      </c>
      <c r="C627" t="inlineStr" s="2">
        <is>
          <t xml:space="preserve">Mounted monitor arm to hold the video monitor.</t>
        </is>
      </c>
      <c r="D627" s="2"/>
      <c r="F627" s="4"/>
      <c r="G627" t="inlineStr" s="2">
        <is>
          <t xml:space="preserve">Alle Zubehörkomponenten flexibel konfigurierbar - auch nachträglich.</t>
        </is>
      </c>
      <c r="H627" t="inlineStr" s="2">
        <is>
          <t xml:space="preserve">Monitorarme am Versorgungsmodul oder an der Unterkonstruktion für bis zu 32"-Monitore.</t>
        </is>
      </c>
      <c r="I627" t="inlineStr" s="2">
        <is>
          <t xml:space="preserve">Indirekte Umgebungslichtquellen an den Seiten sowie auf der Ober- und Unterseite des Monitortragsystems stellen sicher, dass das Personal seine Aufgaben in der Endoskopie-OP-Umgebung bestmöglich erfüllen kann.</t>
        </is>
      </c>
      <c r="J627" s="4"/>
      <c r="K627" s="2"/>
      <c r="L627" t="str" s="3">
        <f>HYPERLINK("https://www.getinge.com/de/produkte/maquet-moduevo-op-bereich/","/produkte/maquet-moduevo-op-bereich/")</f>
        <v>/produkte/maquet-moduevo-op-bereich/</v>
      </c>
    </row>
    <row r="628">
      <c r="A628" s="0">
        <v>627</v>
      </c>
      <c r="B628" t="str" s="3">
        <f>HYPERLINK("https://www.getinge.com/int/products/maquet-moduevo-operating-rooms-solutions/","/products/maquet-moduevo-operating-rooms-solutions/")</f>
        <v>/products/maquet-moduevo-operating-rooms-solutions/</v>
      </c>
      <c r="C628" t="inlineStr" s="2">
        <is>
          <t xml:space="preserve">Ambient lighting on the sides, top, and bottom of the supply unit enables nurses and other medical staff to complete their tasks in the dark environment required for endoscopic surgery</t>
        </is>
      </c>
      <c r="D628" t="inlineStr" s="2">
        <is>
          <t xml:space="preserve">Indirekte Umgebungslichtquellen an den Seiten sowie auf der Ober- und Unterseite des Monitortragsystems stellen sicher, dass das Personal seine Aufgaben in der Endoskopie-OP-Umgebung bestmöglich erfüllen kann.</t>
        </is>
      </c>
      <c r="E628" t="inlineStr" s="0">
        <is>
          <t xml:space="preserve">Low</t>
        </is>
      </c>
      <c r="F628" s="4"/>
      <c r="G628" s="2"/>
      <c r="H628" s="2"/>
      <c r="I628" s="2"/>
      <c r="J628" s="4"/>
      <c r="K628" s="2"/>
      <c r="L628" t="str" s="3">
        <f>HYPERLINK("https://www.getinge.com/de/produkte/maquet-moduevo-op-bereich/","/produkte/maquet-moduevo-op-bereich/")</f>
        <v>/produkte/maquet-moduevo-op-bereich/</v>
      </c>
    </row>
    <row r="629">
      <c r="A629" s="0">
        <v>628</v>
      </c>
      <c r="B629" t="str" s="3">
        <f>HYPERLINK("https://www.getinge.com/int/products/maquet-moduevo-operating-rooms-solutions/","/products/maquet-moduevo-operating-rooms-solutions/")</f>
        <v>/products/maquet-moduevo-operating-rooms-solutions/</v>
      </c>
      <c r="C629" t="inlineStr" s="2">
        <is>
          <t xml:space="preserve">Endoscopy solution with high load capacity of up to 350 kg.</t>
        </is>
      </c>
      <c r="D629" s="2"/>
      <c r="F629" s="4"/>
      <c r="G629" t="inlineStr" s="2">
        <is>
          <t xml:space="preserve">Die Tragkraft von bis zu 350 kg ermöglicht darüber hinaus die Einplanung von Gewichtsreserven für zukünftige Geräte.</t>
        </is>
      </c>
      <c r="H629" t="inlineStr" s="2">
        <is>
          <t xml:space="preserve">Alle Zubehörkomponenten flexibel konfigurierbar - auch nachträglich.</t>
        </is>
      </c>
      <c r="I629" t="inlineStr" s="2">
        <is>
          <t xml:space="preserve">Monitorarme am Versorgungsmodul oder an der Unterkonstruktion für bis zu 32"-Monitore.</t>
        </is>
      </c>
      <c r="J629" s="4"/>
      <c r="K629" s="2"/>
      <c r="L629" t="str" s="3">
        <f>HYPERLINK("https://www.getinge.com/de/produkte/maquet-moduevo-op-bereich/","/produkte/maquet-moduevo-op-bereich/")</f>
        <v>/produkte/maquet-moduevo-op-bereich/</v>
      </c>
    </row>
    <row r="630">
      <c r="A630" s="0">
        <v>629</v>
      </c>
      <c r="B630" t="str" s="3">
        <f>HYPERLINK("https://www.getinge.com/int/products/maquet-moduevo-operating-rooms-solutions/","/products/maquet-moduevo-operating-rooms-solutions/")</f>
        <v>/products/maquet-moduevo-operating-rooms-solutions/</v>
      </c>
      <c r="C630" t="inlineStr" s="2">
        <is>
          <t xml:space="preserve">Enhanced vision for Hybrid Rooms</t>
        </is>
      </c>
      <c r="D630" t="inlineStr" s="2">
        <is>
          <t xml:space="preserve">Optimale Sicht im Hybrid-OP-Saal</t>
        </is>
      </c>
      <c r="E630" t="inlineStr" s="0">
        <is>
          <t xml:space="preserve">Medium</t>
        </is>
      </c>
      <c r="F630" s="4"/>
      <c r="G630" s="2"/>
      <c r="H630" s="2"/>
      <c r="I630" s="2"/>
      <c r="J630" s="4"/>
      <c r="K630" s="2"/>
      <c r="L630" t="str" s="3">
        <f>HYPERLINK("https://www.getinge.com/de/produkte/maquet-moduevo-op-bereich/","/produkte/maquet-moduevo-op-bereich/")</f>
        <v>/produkte/maquet-moduevo-op-bereich/</v>
      </c>
    </row>
    <row r="631">
      <c r="A631" s="0">
        <v>630</v>
      </c>
      <c r="B631" t="str" s="3">
        <f>HYPERLINK("https://www.getinge.com/int/products/maquet-moduevo-operating-rooms-solutions/","/products/maquet-moduevo-operating-rooms-solutions/")</f>
        <v>/products/maquet-moduevo-operating-rooms-solutions/</v>
      </c>
      <c r="C631" t="inlineStr" s="2">
        <is>
          <t xml:space="preserve">In Hybrid Operating Rooms, advanced imaging play a major role by enabling surgeons to see inside the human body in greater detail and higher resolution. Maquet Moduevo Screen holders range answers to this trend by offering flexible configurations. Compatible with large format screens up to 66” and multiple screens up to 32’’, it can display any full-HD or 4K information such as X-rays and endoscopic pictures, vital signs and patient files.</t>
        </is>
      </c>
      <c r="D631" t="inlineStr" s="2">
        <is>
          <t xml:space="preserve">In Hybrid-OPs spielt die Bildgebung eine zentrale Rolle. Sie ermöglicht es, das Operationsfeld detailliert und hochauflösend darzustellen. Durch eine Vielzahl an möglichen Konfigurationen bietet das Monitortragsystem Maquet Moduevo Screen optimale Lösungen in diesem Bereich. Maquet Moduevo Screen ist kompatibel mit Großmonitoren bis 66", sowie mit 4-6 kleineren Monitoren bis 32". Bild- und Videomaterial in full-HD oder 4k wie beispielsweise Röntgenbilder, endoskopische Bilder, Vitalparameter und Patientenakten, kann somit flexibel verteilt und angezeigt werden.</t>
        </is>
      </c>
      <c r="E631" t="inlineStr" s="0">
        <is>
          <t xml:space="preserve">Low</t>
        </is>
      </c>
      <c r="F631" s="4"/>
      <c r="G631" s="2"/>
      <c r="H631" s="2"/>
      <c r="I631" s="2"/>
      <c r="J631" s="4"/>
      <c r="K631" t="inlineStr" s="2">
        <is>
          <t xml:space="preserve">number-mismatch: numbers [32, 4, 66] vs [32, 4, 6, 66]</t>
        </is>
      </c>
      <c r="L631" t="str" s="3">
        <f>HYPERLINK("https://www.getinge.com/de/produkte/maquet-moduevo-op-bereich/","/produkte/maquet-moduevo-op-bereich/")</f>
        <v>/produkte/maquet-moduevo-op-bereich/</v>
      </c>
    </row>
    <row r="632">
      <c r="A632" s="0">
        <v>631</v>
      </c>
      <c r="B632" t="str" s="3">
        <f>HYPERLINK("https://www.getinge.com/int/products/maquet-otesus/","/products/maquet-otesus/")</f>
        <v>/products/maquet-otesus/</v>
      </c>
      <c r="C632" t="inlineStr" s="2">
        <is>
          <t xml:space="preserve">A reliable system that improves workflows and patient safety</t>
        </is>
      </c>
      <c r="D632" t="inlineStr" s="2">
        <is>
          <t xml:space="preserve">Ein zuverlässiges System, das Arbeitsabläufe und Patientensicherheit verbessert</t>
        </is>
      </c>
      <c r="E632" t="inlineStr" s="0">
        <is>
          <t xml:space="preserve">Medium</t>
        </is>
      </c>
      <c r="F632" s="4"/>
      <c r="G632" t="inlineStr" s="2">
        <is>
          <t xml:space="preserve">Erweitern Sie Ihr Wissen mit unserem E-Learning- und Schulungsangebot</t>
        </is>
      </c>
      <c r="H632" s="2"/>
      <c r="I632" s="2"/>
      <c r="J632" s="4"/>
      <c r="K632" s="2"/>
      <c r="L632" t="str" s="3">
        <f>HYPERLINK("https://www.getinge.com/de/produkte/maquet-otesus/","/produkte/maquet-otesus/")</f>
        <v>/produkte/maquet-otesus/</v>
      </c>
    </row>
    <row r="633">
      <c r="A633" s="0">
        <v>632</v>
      </c>
      <c r="B633" t="str" s="3">
        <f>HYPERLINK("https://www.getinge.com/int/products/maquet-otesus/","/products/maquet-otesus/")</f>
        <v>/products/maquet-otesus/</v>
      </c>
      <c r="C633" t="inlineStr" s="2">
        <is>
          <t xml:space="preserve">The Maquet Otesus surgical table is an evolution of the proven Maquet Alphamaquet 1150 OR table System, that you’ve trusted for more than two decades.</t>
        </is>
      </c>
      <c r="D633" t="inlineStr" s="2">
        <is>
          <t xml:space="preserve">Der OP-Tisch Maquet Otesus ist die Weiterentwicklung des bewährten Maquet Alphamaquet 1150 OP-Tischsystems, dem unsere Kundinnen und Kunden seit mehr als zwei Jahrzehnten vertrauen.</t>
        </is>
      </c>
      <c r="E633" t="inlineStr" s="0">
        <is>
          <t xml:space="preserve">High</t>
        </is>
      </c>
      <c r="F633" s="4"/>
      <c r="G633" t="inlineStr" s="2">
        <is>
          <t xml:space="preserve">Es wurde konsequent aktualisiert, um den Komfort-, Sicherheits- und Flexibilitätsanforderungen zahlreicher chirurgischer Disziplinen im modernen OP gerecht zu werden.</t>
        </is>
      </c>
      <c r="H633" t="inlineStr" s="2">
        <is>
          <t xml:space="preserve">Wenn Sie weitere Informationen zu unseren Präsenzveranstaltungen oder Remote-Schulungen wünschen, wenden Sie sich an Ihr lokales Vertriebs- und Serviceteam.</t>
        </is>
      </c>
      <c r="I633" s="2"/>
      <c r="J633" s="4"/>
      <c r="K633" s="2"/>
      <c r="L633" t="str" s="3">
        <f>HYPERLINK("https://www.getinge.com/de/produkte/maquet-otesus/","/produkte/maquet-otesus/")</f>
        <v>/produkte/maquet-otesus/</v>
      </c>
    </row>
    <row r="634">
      <c r="A634" s="0">
        <v>633</v>
      </c>
      <c r="B634" t="str" s="3">
        <f>HYPERLINK("https://www.getinge.com/int/products/maquet-otesus/","/products/maquet-otesus/")</f>
        <v>/products/maquet-otesus/</v>
      </c>
      <c r="C634" t="inlineStr" s="2">
        <is>
          <t xml:space="preserve">It has continuously been updated to meet the comfort, safety and flexibility requirements of multiple surgical disciplines in the modern OR.</t>
        </is>
      </c>
      <c r="D634" t="inlineStr" s="2">
        <is>
          <t xml:space="preserve">Es wurde konsequent aktualisiert, um den Komfort-, Sicherheits- und Flexibilitätsanforderungen zahlreicher chirurgischer Disziplinen im modernen OP gerecht zu werden.</t>
        </is>
      </c>
      <c r="E634" t="inlineStr" s="0">
        <is>
          <t xml:space="preserve">Medium</t>
        </is>
      </c>
      <c r="F634" s="4"/>
      <c r="G634" t="inlineStr" s="2">
        <is>
          <t xml:space="preserve">Wenn Sie weitere Informationen zu unseren Präsenzveranstaltungen oder Remote-Schulungen wünschen, wenden Sie sich an Ihr lokales Vertriebs- und Serviceteam.</t>
        </is>
      </c>
      <c r="H634" t="inlineStr" s="2">
        <is>
          <t xml:space="preserve">Der OP-Tisch Maquet Otesus ist die Weiterentwicklung des bewährten Maquet Alphamaquet 1150 OP-Tischsystems, dem unsere Kundinnen und Kunden seit mehr als zwei Jahrzehnten vertrauen.</t>
        </is>
      </c>
      <c r="I634" s="2"/>
      <c r="J634" s="4"/>
      <c r="K634" s="2"/>
      <c r="L634" t="str" s="3">
        <f>HYPERLINK("https://www.getinge.com/de/produkte/maquet-otesus/","/produkte/maquet-otesus/")</f>
        <v>/produkte/maquet-otesus/</v>
      </c>
    </row>
    <row r="635">
      <c r="A635" s="0">
        <v>634</v>
      </c>
      <c r="B635" t="str" s="3">
        <f>HYPERLINK("https://www.getinge.com/int/products/maquet-otesus/","/products/maquet-otesus/")</f>
        <v>/products/maquet-otesus/</v>
      </c>
      <c r="C635" t="inlineStr" s="2">
        <is>
          <t xml:space="preserve">Combined with the Carbon Fiber table top 1160.16AX, it allows to expand surgical suite capabilities while offering intuitive and precise control possibilities to provide unrestricted radiolucency for pelvic, cardiovascular, orthopedic, and traumatology procedures.</t>
        </is>
      </c>
      <c r="D635" t="inlineStr" s="2">
        <is>
          <t xml:space="preserve">In Kombination mit der CFK-Lagerfläche 1160.16AX ermöglicht sie eine Erweiterung der OP-Kapazitäten und bietet intuitive und präzise Steuerungsmöglichkeiten, um eine vollständige Durchleuchtbarkeit bei gynäkologischen, kardiovaskulären, orthopädischen und traumatologischen Eingriffen zu gewährleisten.</t>
        </is>
      </c>
      <c r="E635" t="inlineStr" s="0">
        <is>
          <t xml:space="preserve">High</t>
        </is>
      </c>
      <c r="F635" s="4"/>
      <c r="G635" s="2"/>
      <c r="H635" s="2"/>
      <c r="I635" s="2"/>
      <c r="J635" s="4"/>
      <c r="K635" s="2"/>
      <c r="L635" t="str" s="3">
        <f>HYPERLINK("https://www.getinge.com/de/produkte/maquet-otesus/","/produkte/maquet-otesus/")</f>
        <v>/produkte/maquet-otesus/</v>
      </c>
    </row>
    <row r="636">
      <c r="A636" s="0">
        <v>635</v>
      </c>
      <c r="B636" t="str" s="3">
        <f>HYPERLINK("https://www.getinge.com/int/products/maquet-otesus/","/products/maquet-otesus/")</f>
        <v>/products/maquet-otesus/</v>
      </c>
      <c r="C636" t="inlineStr" s="2">
        <is>
          <t xml:space="preserve">Getinge has set a new standard to support specialized orthopedic and traumatology applications enabling hyperextension, abduction, adduction and rotation of the legs.</t>
        </is>
      </c>
      <c r="D636" t="inlineStr" s="2">
        <is>
          <t xml:space="preserve">Getinge hat einen neuen Standard gesetzt, um spezielle orthopädische und traumatologische Anwendungen zu unterstützen, die eine Überstreckung, Abduktion, Adduktion und Rotation der Beine ermöglichen.</t>
        </is>
      </c>
      <c r="E636" t="inlineStr" s="0">
        <is>
          <t xml:space="preserve">High</t>
        </is>
      </c>
      <c r="F636" s="4"/>
      <c r="G636" t="inlineStr" s="2">
        <is>
          <t xml:space="preserve">Suchen Sie einen Traktionstisch? Mit dem Traktionsadapter können Sie einen universellen Operationstisch ganz einfach zu einer speziellen orthopädischen Einrichtung umrüsten.</t>
        </is>
      </c>
      <c r="H636" s="2"/>
      <c r="I636" s="2"/>
      <c r="J636" s="4"/>
      <c r="K636" s="2"/>
      <c r="L636" t="str" s="3">
        <f>HYPERLINK("https://www.getinge.com/de/produkte/maquet-otesus/","/produkte/maquet-otesus/")</f>
        <v>/produkte/maquet-otesus/</v>
      </c>
    </row>
    <row r="637">
      <c r="A637" s="0">
        <v>636</v>
      </c>
      <c r="B637" t="str" s="3">
        <f>HYPERLINK("https://www.getinge.com/int/products/maquet-otesus/","/products/maquet-otesus/")</f>
        <v>/products/maquet-otesus/</v>
      </c>
      <c r="C637" t="inlineStr" s="2">
        <is>
          <t xml:space="preserve">Patient transfer area</t>
        </is>
      </c>
      <c r="D637" s="2"/>
      <c r="F637" s="4"/>
      <c r="G637" t="inlineStr" s="2">
        <is>
          <t xml:space="preserve">Verlegung zwischen Räumen</t>
        </is>
      </c>
      <c r="H637" t="inlineStr" s="2">
        <is>
          <t xml:space="preserve">Umbettbereich</t>
        </is>
      </c>
      <c r="I637" t="inlineStr" s="2">
        <is>
          <t xml:space="preserve">In der AEMP</t>
        </is>
      </c>
      <c r="J637" s="4"/>
      <c r="K637" s="2"/>
      <c r="L637" t="str" s="3">
        <f>HYPERLINK("https://www.getinge.com/de/produkte/maquet-otesus/","/produkte/maquet-otesus/")</f>
        <v>/produkte/maquet-otesus/</v>
      </c>
    </row>
    <row r="638">
      <c r="A638" s="0">
        <v>637</v>
      </c>
      <c r="B638" t="str" s="3">
        <f>HYPERLINK("https://www.getinge.com/int/products/maquet-otesus/","/products/maquet-otesus/")</f>
        <v>/products/maquet-otesus/</v>
      </c>
      <c r="C638" t="inlineStr" s="2">
        <is>
          <t xml:space="preserve">With Easy Click interfaces, it’s easy to reduce setup time. Simply click the elements into the surface to configure the table top to the surgeon’s specifications. Bracket interfaces allow for easy setup of table components. After a quick and simple configuration of the table top, your patient can remain on the table top throughout the whole procedure without repositioning.</t>
        </is>
      </c>
      <c r="D638" t="inlineStr" s="2">
        <is>
          <t xml:space="preserve">Dank der Easy-Click Schnittstellen reduziert sich die Konfigurationszeit. Durch einfaches Einstecken der Tischelemente in die Schnittstellen können die Lagerflächen den Vorgaben der Chirurgin/des Chirurgen entsprechend angepasst werden. Steckkupplungen ermöglichen einen einfachen Aufbau der Tischkomponenten. Nach einem schnellen und problemlosen Zusammenbau der Lagerfläche kann Ihre Patientin/Ihr Patient für die gesamte Dauer des Eingriffs auf der Lagerfläche bleiben, ohne umgelagert werden zu müssen.</t>
        </is>
      </c>
      <c r="E638" t="inlineStr" s="0">
        <is>
          <t xml:space="preserve">Medium</t>
        </is>
      </c>
      <c r="F638" s="4"/>
      <c r="G638" t="inlineStr" s="2">
        <is>
          <t xml:space="preserve">Der Maquet Otesus Transporter erlaubt es dem OP-Personal, Patientinnen und Patienten mit minimalem körperlichen Aufwand zu manövrieren. Er vereinfacht zudem die prä- und postoperative Übernahme der Lagerflächen von der Maquet Otesus Säule und unterstützt die Arbeitsabläufe im Operationssaal. Der vielseitige, motorisierte Ergo-Drive-Transporter ist eine sichere, effiziente und benutzerfreundliche Lösung, um den erforderlichen Krafteinsatz beim manuellen Transport und Transfer zu reduzieren.</t>
        </is>
      </c>
      <c r="H638" t="inlineStr" s="2">
        <is>
          <t xml:space="preserve">Um Krankenhausinfektionen zu minimieren, ist eine effiziente und gründliche Reinigung unerlässlich. Maquet Otesus ist mit glatten Metallflächen und klettfreien Tischpolsterbefestigungen ausgestattet. Mit unseren maschinell waschbaren Zubehörteilen, Transportern und Lagerflächen können höchste Hygienestandards umgesetzt werden.</t>
        </is>
      </c>
      <c r="I638" t="inlineStr" s="2">
        <is>
          <t xml:space="preserve">Die bidirektionale Kommunikation zwischen Handbediengerät und OP-Tisch bietet Echtzeitinformationen zur aktuellen Tischposition. Das Smart-Control-Bediengerät empfängt Informationen zur Tischposition und zeigt diese automatisch an, wodurch Zeit gespart, die Sicherheit erhöht und die Dokumentation vereinfacht wird.</t>
        </is>
      </c>
      <c r="J638" s="4"/>
      <c r="K638" s="2"/>
      <c r="L638" t="str" s="3">
        <f>HYPERLINK("https://www.getinge.com/de/produkte/maquet-otesus/","/produkte/maquet-otesus/")</f>
        <v>/produkte/maquet-otesus/</v>
      </c>
    </row>
    <row r="639">
      <c r="A639" s="0">
        <v>638</v>
      </c>
      <c r="B639" t="str" s="3">
        <f>HYPERLINK("https://www.getinge.com/int/products/maquet-otesus/","/products/maquet-otesus/")</f>
        <v>/products/maquet-otesus/</v>
      </c>
      <c r="C639" t="inlineStr" s="2">
        <is>
          <t xml:space="preserve">Between rooms</t>
        </is>
      </c>
      <c r="D639" s="2"/>
      <c r="F639" s="4"/>
      <c r="G639" t="inlineStr" s="2">
        <is>
          <t xml:space="preserve">Umbettbereich</t>
        </is>
      </c>
      <c r="H639" t="inlineStr" s="2">
        <is>
          <t xml:space="preserve">In der AEMP</t>
        </is>
      </c>
      <c r="I639" t="inlineStr" s="2">
        <is>
          <t xml:space="preserve">Verlegung zwischen Räumen</t>
        </is>
      </c>
      <c r="J639" s="4"/>
      <c r="K639" s="2"/>
      <c r="L639" t="str" s="3">
        <f>HYPERLINK("https://www.getinge.com/de/produkte/maquet-otesus/","/produkte/maquet-otesus/")</f>
        <v>/produkte/maquet-otesus/</v>
      </c>
    </row>
    <row r="640">
      <c r="A640" s="0">
        <v>639</v>
      </c>
      <c r="B640" t="str" s="3">
        <f>HYPERLINK("https://www.getinge.com/int/products/maquet-otesus/","/products/maquet-otesus/")</f>
        <v>/products/maquet-otesus/</v>
      </c>
      <c r="C640" t="inlineStr" s="2">
        <is>
          <t xml:space="preserve">The Maquet Otesus Transporter allows surgical staff to maneuver patients with minimal physical effort. It simplifies the reconnection and disconnection of the table tops to the Maquet Otesus Column to streamline the workflow in the surgical theater.</t>
        </is>
      </c>
      <c r="D640" s="2"/>
      <c r="F640" s="4"/>
      <c r="G640" t="inlineStr" s="2">
        <is>
          <t xml:space="preserve">Um Krankenhausinfektionen zu minimieren, ist eine effiziente und gründliche Reinigung unerlässlich. Maquet Otesus ist mit glatten Metallflächen und klettfreien Tischpolsterbefestigungen ausgestattet. Mit unseren maschinell waschbaren Zubehörteilen, Transportern und Lagerflächen können höchste Hygienestandards umgesetzt werden.</t>
        </is>
      </c>
      <c r="H640" t="inlineStr" s="2">
        <is>
          <t xml:space="preserve">Die bidirektionale Kommunikation zwischen Handbediengerät und OP-Tisch bietet Echtzeitinformationen zur aktuellen Tischposition. Das Smart-Control-Bediengerät empfängt Informationen zur Tischposition und zeigt diese automatisch an, wodurch Zeit gespart, die Sicherheit erhöht und die Dokumentation vereinfacht wird.</t>
        </is>
      </c>
      <c r="I640" t="inlineStr" s="2">
        <is>
          <t xml:space="preserve">Der Maquet Otesus Transporter erlaubt es dem OP-Personal, Patientinnen und Patienten mit minimalem körperlichen Aufwand zu manövrieren. Er vereinfacht zudem die prä- und postoperative Übernahme der Lagerflächen von der Maquet Otesus Säule und unterstützt die Arbeitsabläufe im Operationssaal. Der vielseitige, motorisierte Ergo-Drive-Transporter ist eine sichere, effiziente und benutzerfreundliche Lösung, um den erforderlichen Krafteinsatz beim manuellen Transport und Transfer zu reduzieren.</t>
        </is>
      </c>
      <c r="J640" s="4"/>
      <c r="K640" s="2"/>
      <c r="L640" t="str" s="3">
        <f>HYPERLINK("https://www.getinge.com/de/produkte/maquet-otesus/","/produkte/maquet-otesus/")</f>
        <v>/produkte/maquet-otesus/</v>
      </c>
    </row>
    <row r="641">
      <c r="A641" s="0">
        <v>640</v>
      </c>
      <c r="B641" t="str" s="3">
        <f>HYPERLINK("https://www.getinge.com/int/products/maquet-otesus/","/products/maquet-otesus/")</f>
        <v>/products/maquet-otesus/</v>
      </c>
      <c r="C641" t="inlineStr" s="2">
        <is>
          <t xml:space="preserve">The versatile, motorized Ergo Drive transporter is a safe, efficient, user-friendly solution that reduces the strength needed during manual transport and transfer.</t>
        </is>
      </c>
      <c r="D641" s="2"/>
      <c r="F641" s="4"/>
      <c r="G641" t="inlineStr" s="2">
        <is>
          <t xml:space="preserve">Der Maquet Otesus Transporter erlaubt es dem OP-Personal, Patientinnen und Patienten mit minimalem körperlichen Aufwand zu manövrieren. Er vereinfacht zudem die prä- und postoperative Übernahme der Lagerflächen von der Maquet Otesus Säule und unterstützt die Arbeitsabläufe im Operationssaal. Der vielseitige, motorisierte Ergo-Drive-Transporter ist eine sichere, effiziente und benutzerfreundliche Lösung, um den erforderlichen Krafteinsatz beim manuellen Transport und Transfer zu reduzieren.</t>
        </is>
      </c>
      <c r="H641" t="inlineStr" s="2">
        <is>
          <t xml:space="preserve">Um Krankenhausinfektionen zu minimieren, ist eine effiziente und gründliche Reinigung unerlässlich. Maquet Otesus ist mit glatten Metallflächen und klettfreien Tischpolsterbefestigungen ausgestattet. Mit unseren maschinell waschbaren Zubehörteilen, Transportern und Lagerflächen können höchste Hygienestandards umgesetzt werden.</t>
        </is>
      </c>
      <c r="I641" t="inlineStr" s="2">
        <is>
          <t xml:space="preserve">Die bidirektionale Kommunikation zwischen Handbediengerät und OP-Tisch bietet Echtzeitinformationen zur aktuellen Tischposition. Das Smart-Control-Bediengerät empfängt Informationen zur Tischposition und zeigt diese automatisch an, wodurch Zeit gespart, die Sicherheit erhöht und die Dokumentation vereinfacht wird.</t>
        </is>
      </c>
      <c r="J641" s="4"/>
      <c r="K641" s="2"/>
      <c r="L641" t="str" s="3">
        <f>HYPERLINK("https://www.getinge.com/de/produkte/maquet-otesus/","/produkte/maquet-otesus/")</f>
        <v>/produkte/maquet-otesus/</v>
      </c>
    </row>
    <row r="642">
      <c r="A642" s="0">
        <v>641</v>
      </c>
      <c r="B642" t="str" s="3">
        <f>HYPERLINK("https://www.getinge.com/int/products/maquet-otesus/","/products/maquet-otesus/")</f>
        <v>/products/maquet-otesus/</v>
      </c>
      <c r="C642" t="inlineStr" s="2">
        <is>
          <t xml:space="preserve">Inside the OR</t>
        </is>
      </c>
      <c r="D642" s="2"/>
      <c r="F642" s="4"/>
      <c r="G642" t="inlineStr" s="2">
        <is>
          <t xml:space="preserve">Umbettbereich</t>
        </is>
      </c>
      <c r="H642" t="inlineStr" s="2">
        <is>
          <t xml:space="preserve">In der AEMP</t>
        </is>
      </c>
      <c r="I642" t="inlineStr" s="2">
        <is>
          <t xml:space="preserve">Verlegung zwischen Räumen</t>
        </is>
      </c>
      <c r="J642" s="4"/>
      <c r="K642" s="2"/>
      <c r="L642" t="str" s="3">
        <f>HYPERLINK("https://www.getinge.com/de/produkte/maquet-otesus/","/produkte/maquet-otesus/")</f>
        <v>/produkte/maquet-otesus/</v>
      </c>
    </row>
    <row r="643">
      <c r="A643" s="0">
        <v>642</v>
      </c>
      <c r="B643" t="str" s="3">
        <f>HYPERLINK("https://www.getinge.com/int/products/maquet-otesus/","/products/maquet-otesus/")</f>
        <v>/products/maquet-otesus/</v>
      </c>
      <c r="C643" t="inlineStr" s="2">
        <is>
          <t xml:space="preserve">Bidirectional communication with the column provides real-time information on the current table configuration. The Smart Control continuously receives the table set up informations and automatically displays them, which saves time, enhances safety and simplifies documentation.</t>
        </is>
      </c>
      <c r="D643" t="inlineStr" s="2">
        <is>
          <t xml:space="preserve">Die bidirektionale Kommunikation zwischen Handbediengerät und OP-Tisch bietet Echtzeitinformationen zur aktuellen Tischposition. Das Smart-Control-Bediengerät empfängt Informationen zur Tischposition und zeigt diese automatisch an, wodurch Zeit gespart, die Sicherheit erhöht und die Dokumentation vereinfacht wird.</t>
        </is>
      </c>
      <c r="E643" t="inlineStr" s="0">
        <is>
          <t xml:space="preserve">Medium</t>
        </is>
      </c>
      <c r="F643" s="4"/>
      <c r="G643" t="inlineStr" s="2">
        <is>
          <t xml:space="preserve">Um Krankenhausinfektionen zu minimieren, ist eine effiziente und gründliche Reinigung unerlässlich. Maquet Otesus ist mit glatten Metallflächen und klettfreien Tischpolsterbefestigungen ausgestattet. Mit unseren maschinell waschbaren Zubehörteilen, Transportern und Lagerflächen können höchste Hygienestandards umgesetzt werden.</t>
        </is>
      </c>
      <c r="H643" t="inlineStr" s="2">
        <is>
          <t xml:space="preserve">Dank der Easy-Click Schnittstellen reduziert sich die Konfigurationszeit. Durch einfaches Einstecken der Tischelemente in die Schnittstellen können die Lagerflächen den Vorgaben der Chirurgin/des Chirurgen entsprechend angepasst werden. Steckkupplungen ermöglichen einen einfachen Aufbau der Tischkomponenten. Nach einem schnellen und problemlosen Zusammenbau der Lagerfläche kann Ihre Patientin/Ihr Patient für die gesamte Dauer des Eingriffs auf der Lagerfläche bleiben, ohne umgelagert werden zu müssen.</t>
        </is>
      </c>
      <c r="I643" t="inlineStr" s="2">
        <is>
          <t xml:space="preserve">Der Maquet Otesus Transporter erlaubt es dem OP-Personal, Patientinnen und Patienten mit minimalem körperlichen Aufwand zu manövrieren. Er vereinfacht zudem die prä- und postoperative Übernahme der Lagerflächen von der Maquet Otesus Säule und unterstützt die Arbeitsabläufe im Operationssaal. Der vielseitige, motorisierte Ergo-Drive-Transporter ist eine sichere, effiziente und benutzerfreundliche Lösung, um den erforderlichen Krafteinsatz beim manuellen Transport und Transfer zu reduzieren.</t>
        </is>
      </c>
      <c r="J643" s="4"/>
      <c r="K643" s="2"/>
      <c r="L643" t="str" s="3">
        <f>HYPERLINK("https://www.getinge.com/de/produkte/maquet-otesus/","/produkte/maquet-otesus/")</f>
        <v>/produkte/maquet-otesus/</v>
      </c>
    </row>
    <row r="644">
      <c r="A644" s="0">
        <v>643</v>
      </c>
      <c r="B644" t="str" s="3">
        <f>HYPERLINK("https://www.getinge.com/int/products/maquet-otesus/","/products/maquet-otesus/")</f>
        <v>/products/maquet-otesus/</v>
      </c>
      <c r="C644" t="inlineStr" s="2">
        <is>
          <t xml:space="preserve">In the CSSD</t>
        </is>
      </c>
      <c r="D644" s="2"/>
      <c r="F644" s="4"/>
      <c r="G644" t="inlineStr" s="2">
        <is>
          <t xml:space="preserve">Umbettbereich</t>
        </is>
      </c>
      <c r="H644" t="inlineStr" s="2">
        <is>
          <t xml:space="preserve">In der AEMP</t>
        </is>
      </c>
      <c r="I644" t="inlineStr" s="2">
        <is>
          <t xml:space="preserve">Verlegung zwischen Räumen</t>
        </is>
      </c>
      <c r="J644" s="4"/>
      <c r="K644" s="2"/>
      <c r="L644" t="str" s="3">
        <f>HYPERLINK("https://www.getinge.com/de/produkte/maquet-otesus/","/produkte/maquet-otesus/")</f>
        <v>/produkte/maquet-otesus/</v>
      </c>
    </row>
    <row r="645">
      <c r="A645" s="0">
        <v>644</v>
      </c>
      <c r="B645" t="str" s="3">
        <f>HYPERLINK("https://www.getinge.com/int/products/maquet-otesus/","/products/maquet-otesus/")</f>
        <v>/products/maquet-otesus/</v>
      </c>
      <c r="C645" t="inlineStr" s="2">
        <is>
          <t xml:space="preserve">To minimize hospital acquired infections, efficient and thorough cleaning is essential. Maquet Otesus is designed with smooth column surfaces and Velcro-free table top cushions. The highest hygiene standards can be implemented with our machine-washable accessories, transporters and table tops.</t>
        </is>
      </c>
      <c r="D645" t="inlineStr" s="2">
        <is>
          <t xml:space="preserve">Um Krankenhausinfektionen zu minimieren, ist eine effiziente und gründliche Reinigung unerlässlich. Maquet Otesus ist mit glatten Metallflächen und klettfreien Tischpolsterbefestigungen ausgestattet. Mit unseren maschinell waschbaren Zubehörteilen, Transportern und Lagerflächen können höchste Hygienestandards umgesetzt werden.</t>
        </is>
      </c>
      <c r="E645" t="inlineStr" s="0">
        <is>
          <t xml:space="preserve">Medium</t>
        </is>
      </c>
      <c r="F645" s="4"/>
      <c r="G645" t="inlineStr" s="2">
        <is>
          <t xml:space="preserve">Die bidirektionale Kommunikation zwischen Handbediengerät und OP-Tisch bietet Echtzeitinformationen zur aktuellen Tischposition. Das Smart-Control-Bediengerät empfängt Informationen zur Tischposition und zeigt diese automatisch an, wodurch Zeit gespart, die Sicherheit erhöht und die Dokumentation vereinfacht wird.</t>
        </is>
      </c>
      <c r="H645" t="inlineStr" s="2">
        <is>
          <t xml:space="preserve">Der Maquet Otesus Transporter erlaubt es dem OP-Personal, Patientinnen und Patienten mit minimalem körperlichen Aufwand zu manövrieren. Er vereinfacht zudem die prä- und postoperative Übernahme der Lagerflächen von der Maquet Otesus Säule und unterstützt die Arbeitsabläufe im Operationssaal. Der vielseitige, motorisierte Ergo-Drive-Transporter ist eine sichere, effiziente und benutzerfreundliche Lösung, um den erforderlichen Krafteinsatz beim manuellen Transport und Transfer zu reduzieren.</t>
        </is>
      </c>
      <c r="I645" t="inlineStr" s="2">
        <is>
          <t xml:space="preserve">Dank der Easy-Click Schnittstellen reduziert sich die Konfigurationszeit. Durch einfaches Einstecken der Tischelemente in die Schnittstellen können die Lagerflächen den Vorgaben der Chirurgin/des Chirurgen entsprechend angepasst werden. Steckkupplungen ermöglichen einen einfachen Aufbau der Tischkomponenten. Nach einem schnellen und problemlosen Zusammenbau der Lagerfläche kann Ihre Patientin/Ihr Patient für die gesamte Dauer des Eingriffs auf der Lagerfläche bleiben, ohne umgelagert werden zu müssen.</t>
        </is>
      </c>
      <c r="J645" s="4"/>
      <c r="K645" s="2"/>
      <c r="L645" t="str" s="3">
        <f>HYPERLINK("https://www.getinge.com/de/produkte/maquet-otesus/","/produkte/maquet-otesus/")</f>
        <v>/produkte/maquet-otesus/</v>
      </c>
    </row>
    <row r="646">
      <c r="A646" s="0">
        <v>645</v>
      </c>
      <c r="B646" t="str" s="3">
        <f>HYPERLINK("https://www.getinge.com/int/products/maquet-otesus/","/products/maquet-otesus/")</f>
        <v>/products/maquet-otesus/</v>
      </c>
      <c r="C646" t="inlineStr" s="2">
        <is>
          <t xml:space="preserve">• Patient weight up to 250 kg is supported without restrictions regarding patient orientation and lateral shift. • Usable as a mobile table, e. g. in ambulatory surgery centers, or in combination with a stationary system. • Three versions available: length, short to long and with or without head rest interface. • Lowest height setting permits surgical comfort, even in neuro and spine surgery.</t>
        </is>
      </c>
      <c r="D646" s="2"/>
      <c r="F646" s="4"/>
      <c r="G646" t="inlineStr" s="2">
        <is>
          <t xml:space="preserve">Ein Patientengewicht von bis zu 250 kg wird ohne Einschränkungen hinsichtlich der Patientenausrichtung und der Querverschiebung unterstützt.</t>
        </is>
      </c>
      <c r="H646" s="2"/>
      <c r="I646" s="2"/>
      <c r="J646" s="4"/>
      <c r="K646" s="2"/>
      <c r="L646" t="str" s="3">
        <f>HYPERLINK("https://www.getinge.com/de/produkte/maquet-otesus/","/produkte/maquet-otesus/")</f>
        <v>/produkte/maquet-otesus/</v>
      </c>
    </row>
    <row r="647">
      <c r="A647" s="0">
        <v>646</v>
      </c>
      <c r="B647" t="str" s="3">
        <f>HYPERLINK("https://www.getinge.com/int/products/maquet-otesus/","/products/maquet-otesus/")</f>
        <v>/products/maquet-otesus/</v>
      </c>
      <c r="C647" t="inlineStr" s="2">
        <is>
          <t xml:space="preserve">Team and patient protection</t>
        </is>
      </c>
      <c r="D647" t="inlineStr" s="2">
        <is>
          <t xml:space="preserve">Schutz des OP-Teams und der Patienten</t>
        </is>
      </c>
      <c r="E647" t="inlineStr" s="0">
        <is>
          <t xml:space="preserve">High</t>
        </is>
      </c>
      <c r="F647" s="4"/>
      <c r="G647" t="inlineStr" s="2">
        <is>
          <t xml:space="preserve">Reduzierte Röntgenbelastung</t>
        </is>
      </c>
      <c r="H647" t="inlineStr" s="2">
        <is>
          <t xml:space="preserve">Wirtschaftlich: Eine CFK-Lagerfläche – viele Optionen</t>
        </is>
      </c>
      <c r="I647" s="2"/>
      <c r="J647" s="4"/>
      <c r="K647" s="2"/>
      <c r="L647" t="str" s="3">
        <f>HYPERLINK("https://www.getinge.com/de/produkte/maquet-otesus/","/produkte/maquet-otesus/")</f>
        <v>/produkte/maquet-otesus/</v>
      </c>
    </row>
    <row r="648">
      <c r="A648" s="0">
        <v>647</v>
      </c>
      <c r="B648" t="str" s="3">
        <f>HYPERLINK("https://www.getinge.com/int/products/maquet-otesus/","/products/maquet-otesus/")</f>
        <v>/products/maquet-otesus/</v>
      </c>
      <c r="C648" t="inlineStr" s="2">
        <is>
          <t xml:space="preserve">Economic: One CF table top - many options</t>
        </is>
      </c>
      <c r="D648" t="inlineStr" s="2">
        <is>
          <t xml:space="preserve">Wirtschaftlich: Eine CFK-Lagerfläche – viele Optionen</t>
        </is>
      </c>
      <c r="E648" t="inlineStr" s="0">
        <is>
          <t xml:space="preserve">Medium</t>
        </is>
      </c>
      <c r="F648" s="4"/>
      <c r="G648" t="inlineStr" s="2">
        <is>
          <t xml:space="preserve">Schutz des OP-Teams und der Patienten</t>
        </is>
      </c>
      <c r="H648" t="inlineStr" s="2">
        <is>
          <t xml:space="preserve">Reduzierte Röntgenbelastung</t>
        </is>
      </c>
      <c r="I648" s="2"/>
      <c r="J648" s="4"/>
      <c r="K648" s="2"/>
      <c r="L648" t="str" s="3">
        <f>HYPERLINK("https://www.getinge.com/de/produkte/maquet-otesus/","/produkte/maquet-otesus/")</f>
        <v>/produkte/maquet-otesus/</v>
      </c>
    </row>
    <row r="649">
      <c r="A649" s="0">
        <v>648</v>
      </c>
      <c r="B649" t="str" s="3">
        <f>HYPERLINK("https://www.getinge.com/int/products/maquet-otesus/","/products/maquet-otesus/")</f>
        <v>/products/maquet-otesus/</v>
      </c>
      <c r="C649" t="inlineStr" s="2">
        <is>
          <t xml:space="preserve">• The CF table top is compatible with your existing 1160 column (1160.01A0/B0/C0/D0). • Compatibility with existing Maquet accessories minimizes. costs while offering flexibility for different patient positioning. • The table top can be swiftly repositioned in a matter of seconds, resulting in significant time savings.</t>
        </is>
      </c>
      <c r="D649" s="2"/>
      <c r="F649" s="4"/>
      <c r="G649" t="inlineStr" s="2">
        <is>
          <t xml:space="preserve">Die CFK-Lagerfläche ist kompatibel mit der passenden 1160-Säule (1160.01A0/B0/C0/D0).</t>
        </is>
      </c>
      <c r="H649" t="inlineStr" s="2">
        <is>
          <t xml:space="preserve">Freies Manövrieren der Lagerfläche während der Bildgebung durch Transversalverschiebung von ± 150 mm, Längsverschiebung bis zu 1.200 mm und Trendelenburg / laterale Kantung bis zu ± 25°, wodurch die Notwendigkeit einer Neupositionierung des Bildgebungsgeräts minimiert wird.</t>
        </is>
      </c>
      <c r="I649" s="2"/>
      <c r="J649" s="4"/>
      <c r="K649" s="2"/>
      <c r="L649" t="str" s="3">
        <f>HYPERLINK("https://www.getinge.com/de/produkte/maquet-otesus/","/produkte/maquet-otesus/")</f>
        <v>/produkte/maquet-otesus/</v>
      </c>
    </row>
    <row r="650">
      <c r="A650" s="0">
        <v>649</v>
      </c>
      <c r="B650" t="str" s="3">
        <f>HYPERLINK("https://www.getinge.com/int/products/maquet-otesus/","/products/maquet-otesus/")</f>
        <v>/products/maquet-otesus/</v>
      </c>
      <c r="C650" t="inlineStr" s="2">
        <is>
          <t xml:space="preserve">A broad range of angles and tilts increase patient positioning options</t>
        </is>
      </c>
      <c r="D650" t="inlineStr" s="2">
        <is>
          <t xml:space="preserve">Ein großer Verstellbereich für Neigung und Kantung erweitert die Optionen zur Patientenlagerung</t>
        </is>
      </c>
      <c r="E650" t="inlineStr" s="0">
        <is>
          <t xml:space="preserve">Low</t>
        </is>
      </c>
      <c r="F650" s="4"/>
      <c r="G650" t="inlineStr" s="2">
        <is>
          <t xml:space="preserve">Maquet Otesus erweitert die Möglichkeiten zur Patientenlagerung durch eine optimale Reverse- oder Normalkonfiguration mit einer großen Bandbreite an Verstellmöglichkeiten hinsichtlich Neigung und Kantung. Dadurch wird der Zugang bei verschiedenen OP-Positionen erleichtert.</t>
        </is>
      </c>
      <c r="H650" s="2"/>
      <c r="I650" s="2"/>
      <c r="J650" s="4"/>
      <c r="K650" s="2"/>
      <c r="L650" t="str" s="3">
        <f>HYPERLINK("https://www.getinge.com/de/produkte/maquet-otesus/","/produkte/maquet-otesus/")</f>
        <v>/produkte/maquet-otesus/</v>
      </c>
    </row>
    <row r="651">
      <c r="A651" s="0">
        <v>650</v>
      </c>
      <c r="B651" t="str" s="3">
        <f>HYPERLINK("https://www.getinge.com/int/products/maquet-otesus/","/products/maquet-otesus/")</f>
        <v>/products/maquet-otesus/</v>
      </c>
      <c r="C651" t="inlineStr" s="2">
        <is>
          <t xml:space="preserve">Maquet Otesus expands the patient positioning possibilities by offering optimal reverse or normal configuration together with a wide range of angles and tilts. This delivers increased access in various surgical positions.</t>
        </is>
      </c>
      <c r="D651" t="inlineStr" s="2">
        <is>
          <t xml:space="preserve">Maquet Otesus erweitert die Möglichkeiten zur Patientenlagerung durch eine optimale Reverse- oder Normalkonfiguration mit einer großen Bandbreite an Verstellmöglichkeiten hinsichtlich Neigung und Kantung. Dadurch wird der Zugang bei verschiedenen OP-Positionen erleichtert.</t>
        </is>
      </c>
      <c r="E651" t="inlineStr" s="0">
        <is>
          <t xml:space="preserve">Medium</t>
        </is>
      </c>
      <c r="F651" s="4"/>
      <c r="G651" s="2"/>
      <c r="H651" s="2"/>
      <c r="I651" s="2"/>
      <c r="J651" s="4"/>
      <c r="K651" s="2"/>
      <c r="L651" t="str" s="3">
        <f>HYPERLINK("https://www.getinge.com/de/produkte/maquet-otesus/","/produkte/maquet-otesus/")</f>
        <v>/produkte/maquet-otesus/</v>
      </c>
    </row>
    <row r="652">
      <c r="A652" s="0">
        <v>651</v>
      </c>
      <c r="B652" t="str" s="3">
        <f>HYPERLINK("https://www.getinge.com/int/products/nava/","/products/nava/")</f>
        <v>/products/nava/</v>
      </c>
      <c r="C652" t="inlineStr" s="2">
        <is>
          <t xml:space="preserve">The brain directs our breathing.</t>
        </is>
      </c>
      <c r="D652" s="2"/>
      <c r="F652" s="4"/>
      <c r="G652" t="inlineStr" s="2">
        <is>
          <t xml:space="preserve">Mikroelektroden erkennen die Vitalzeichen der Atmung (Edi).</t>
        </is>
      </c>
      <c r="H652" t="inlineStr" s="2">
        <is>
          <t xml:space="preserve">Die Benutzeroberfläche Ihres Servo Beatmungsgeräts zeigt alles an.</t>
        </is>
      </c>
      <c r="I652" s="2"/>
      <c r="J652" s="4"/>
      <c r="K652" s="2"/>
      <c r="L652" t="str" s="3">
        <f>HYPERLINK("https://www.getinge.com/de/produkte/nava/","/produkte/nava/")</f>
        <v>/produkte/nava/</v>
      </c>
    </row>
    <row r="653">
      <c r="A653" s="0">
        <v>652</v>
      </c>
      <c r="B653" t="str" s="3">
        <f>HYPERLINK("https://www.getinge.com/int/products/nava/","/products/nava/")</f>
        <v>/products/nava/</v>
      </c>
      <c r="C653" t="inlineStr" s="2">
        <is>
          <t xml:space="preserve">The size and timing of each breath is controlled by the brain’s respiratory center. When the brain has processed multiple sensory inputs, it sends a signal via the phrenic nerve that electrically activates the diaphragm, leading to muscle contraction. The diaphragm then contracts into the abdominal cavity, leading to a descending movement, creating chest wall and lung expansion and inflow of air.</t>
        </is>
      </c>
      <c r="D653" t="inlineStr" s="2">
        <is>
          <t xml:space="preserve">Stärke und Zeitpunkt jedes einzelnen unserer Atemzüge werden vom Atemzentrum des Gehirns gesteuert. Nachdem das Gehirn verschiedene sensorische Signale verarbeitet hat, sendet es ein Signal über den Phrenikusnerv, um das Zwerchfell elektrisch zu aktivieren, was zu einer Muskelkontraktion führt. Das Zwerchfell kontrahiert in die Bauchhöhle, was zu einer Abwärtsbewegung führt, die eine Expansion der Thoraxwand und der Lunge zur Folge hat.</t>
        </is>
      </c>
      <c r="E653" t="inlineStr" s="0">
        <is>
          <t xml:space="preserve">Medium</t>
        </is>
      </c>
      <c r="F653" s="4"/>
      <c r="G653" t="inlineStr" s="2">
        <is>
          <t xml:space="preserve">Im unteren Teil des Bildschirms ist stets das Edi-Signal zu sehen, auch wenn der Beatmungsmodus der Patientin/des Patienten nicht auf NAVA gestellt ist. Wenn Sie den NAVA-Modus aktivieren, steuert das Edi-Signal automatisch das Beatmungsgerät, um synchrone und proportionale Unterstützung zum Zwerchfell zu liefern. Das Beatmungsgerät fungiert als zweiter Inspirationsmuskel – perfekt mit der Patientin/dem Patienten synchronisiert.</t>
        </is>
      </c>
      <c r="H653" t="inlineStr" s="2">
        <is>
          <t xml:space="preserve">Die elektrische Entladung des Zwerchfells wird von einer speziellen nasogastralen Ernährungssonde erfasst, die mit einer Reihe von Mikroelektroden (dem Edi-Katheter) ausgestattet ist. Wie eine normale enterale Ernährungssonde passiert der Edi-Katheter den Ösophagus, von wo aus er die elektrische Aktivität des Zwerchfells misst.</t>
        </is>
      </c>
      <c r="I653" s="2"/>
      <c r="J653" s="4"/>
      <c r="K653" s="2"/>
      <c r="L653" t="str" s="3">
        <f>HYPERLINK("https://www.getinge.com/de/produkte/nava/","/produkte/nava/")</f>
        <v>/produkte/nava/</v>
      </c>
    </row>
    <row r="654">
      <c r="A654" s="0">
        <v>653</v>
      </c>
      <c r="B654" t="str" s="3">
        <f>HYPERLINK("https://www.getinge.com/int/products/nava/","/products/nava/")</f>
        <v>/products/nava/</v>
      </c>
      <c r="C654" t="inlineStr" s="2">
        <is>
          <t xml:space="preserve">Micro-electrodes detect the vital sign of respiration (Edi).</t>
        </is>
      </c>
      <c r="D654" t="inlineStr" s="2">
        <is>
          <t xml:space="preserve">Mikroelektroden erkennen die Vitalzeichen der Atmung (Edi).</t>
        </is>
      </c>
      <c r="E654" t="inlineStr" s="0">
        <is>
          <t xml:space="preserve">Medium</t>
        </is>
      </c>
      <c r="F654" s="4"/>
      <c r="G654" t="inlineStr" s="2">
        <is>
          <t xml:space="preserve">Die Benutzeroberfläche Ihres Servo Beatmungsgeräts zeigt alles an.</t>
        </is>
      </c>
      <c r="H654" t="inlineStr" s="2">
        <is>
          <t xml:space="preserve">Die elektrische Entladung des Zwerchfells wird von einer speziellen nasogastralen Ernährungssonde erfasst, die mit einer Reihe von Mikroelektroden (dem Edi-Katheter) ausgestattet ist. Wie eine normale enterale Ernährungssonde passiert der Edi-Katheter den Ösophagus, von wo aus er die elektrische Aktivität des Zwerchfells misst.</t>
        </is>
      </c>
      <c r="I654" t="inlineStr" s="2">
        <is>
          <t xml:space="preserve">Stärke und Zeitpunkt jedes einzelnen unserer Atemzüge werden vom Atemzentrum des Gehirns gesteuert. Nachdem das Gehirn verschiedene sensorische Signale verarbeitet hat, sendet es ein Signal über den Phrenikusnerv, um das Zwerchfell elektrisch zu aktivieren, was zu einer Muskelkontraktion führt. Das Zwerchfell kontrahiert in die Bauchhöhle, was zu einer Abwärtsbewegung führt, die eine Expansion der Thoraxwand und der Lunge zur Folge hat.</t>
        </is>
      </c>
      <c r="J654" s="4"/>
      <c r="K654" s="2"/>
      <c r="L654" t="str" s="3">
        <f>HYPERLINK("https://www.getinge.com/de/produkte/nava/","/produkte/nava/")</f>
        <v>/produkte/nava/</v>
      </c>
    </row>
    <row r="655">
      <c r="A655" s="0">
        <v>654</v>
      </c>
      <c r="B655" t="str" s="3">
        <f>HYPERLINK("https://www.getinge.com/int/products/nava/","/products/nava/")</f>
        <v>/products/nava/</v>
      </c>
      <c r="C655" t="inlineStr" s="2">
        <is>
          <t xml:space="preserve">The electrical discharge of the diaphragm is captured by a special nasogastric feeding tube fitted with an array of electrodes (the Edi catheter). Like an ordinary enteral feeding tube, the Edi catheter passes through the esophagus, where it measures the electrical activity of the diaphragm. The electrodes also monitor ECG signals, which are used to verify the position of the Edi catheter.</t>
        </is>
      </c>
      <c r="D655" t="inlineStr" s="2">
        <is>
          <t xml:space="preserve">Die elektrische Entladung des Zwerchfells wird von einer speziellen nasogastralen Ernährungssonde erfasst, die mit einer Reihe von Mikroelektroden (dem Edi-Katheter) ausgestattet ist. Wie eine normale enterale Ernährungssonde passiert der Edi-Katheter den Ösophagus, von wo aus er die elektrische Aktivität des Zwerchfells misst.</t>
        </is>
      </c>
      <c r="E655" t="inlineStr" s="0">
        <is>
          <t xml:space="preserve">Medium</t>
        </is>
      </c>
      <c r="F655" s="4"/>
      <c r="G655" t="inlineStr" s="2">
        <is>
          <t xml:space="preserve">Stärke und Zeitpunkt jedes einzelnen unserer Atemzüge werden vom Atemzentrum des Gehirns gesteuert. Nachdem das Gehirn verschiedene sensorische Signale verarbeitet hat, sendet es ein Signal über den Phrenikusnerv, um das Zwerchfell elektrisch zu aktivieren, was zu einer Muskelkontraktion führt. Das Zwerchfell kontrahiert in die Bauchhöhle, was zu einer Abwärtsbewegung führt, die eine Expansion der Thoraxwand und der Lunge zur Folge hat.</t>
        </is>
      </c>
      <c r="H655" t="inlineStr" s="2">
        <is>
          <t xml:space="preserve">Im unteren Teil des Bildschirms ist stets das Edi-Signal zu sehen, auch wenn der Beatmungsmodus der Patientin/des Patienten nicht auf NAVA gestellt ist. Wenn Sie den NAVA-Modus aktivieren, steuert das Edi-Signal automatisch das Beatmungsgerät, um synchrone und proportionale Unterstützung zum Zwerchfell zu liefern. Das Beatmungsgerät fungiert als zweiter Inspirationsmuskel – perfekt mit der Patientin/dem Patienten synchronisiert.</t>
        </is>
      </c>
      <c r="I655" s="2"/>
      <c r="J655" s="4"/>
      <c r="K655" s="2"/>
      <c r="L655" t="str" s="3">
        <f>HYPERLINK("https://www.getinge.com/de/produkte/nava/","/produkte/nava/")</f>
        <v>/produkte/nava/</v>
      </c>
    </row>
    <row r="656">
      <c r="A656" s="0">
        <v>655</v>
      </c>
      <c r="B656" t="str" s="3">
        <f>HYPERLINK("https://www.getinge.com/int/products/nava/","/products/nava/")</f>
        <v>/products/nava/</v>
      </c>
      <c r="C656" t="inlineStr" s="2">
        <is>
          <t xml:space="preserve">Your Servo ventilator user interface presents it all.</t>
        </is>
      </c>
      <c r="D656" t="inlineStr" s="2">
        <is>
          <t xml:space="preserve">Die Benutzeroberfläche Ihres Servo Beatmungsgeräts zeigt alles an.</t>
        </is>
      </c>
      <c r="E656" t="inlineStr" s="0">
        <is>
          <t xml:space="preserve">Medium</t>
        </is>
      </c>
      <c r="F656" s="4"/>
      <c r="G656" t="inlineStr" s="2">
        <is>
          <t xml:space="preserve">Mikroelektroden erkennen die Vitalzeichen der Atmung (Edi).</t>
        </is>
      </c>
      <c r="H656" s="2"/>
      <c r="I656" s="2"/>
      <c r="J656" s="4"/>
      <c r="K656" s="2"/>
      <c r="L656" t="str" s="3">
        <f>HYPERLINK("https://www.getinge.com/de/produkte/nava/","/produkte/nava/")</f>
        <v>/produkte/nava/</v>
      </c>
    </row>
    <row r="657">
      <c r="A657" s="0">
        <v>656</v>
      </c>
      <c r="B657" t="str" s="3">
        <f>HYPERLINK("https://www.getinge.com/int/products/nava/","/products/nava/")</f>
        <v>/products/nava/</v>
      </c>
      <c r="C657" t="inlineStr" s="2">
        <is>
          <t xml:space="preserve">The lower part of the screen shows the Edi signal at all times, even if the patient ventilation mode is not switched to NAVA. When you switch on the NAVA mode, the Edi signal automatically guides the ventilator to deliver support in time with and proportion to the diaphragm. The ventilator acts as a second inspiratory muscle – in perfect synchrony with the patients.</t>
        </is>
      </c>
      <c r="D657" t="inlineStr" s="2">
        <is>
          <t xml:space="preserve">Im unteren Teil des Bildschirms ist stets das Edi-Signal zu sehen, auch wenn der Beatmungsmodus der Patientin/des Patienten nicht auf NAVA gestellt ist. Wenn Sie den NAVA-Modus aktivieren, steuert das Edi-Signal automatisch das Beatmungsgerät, um synchrone und proportionale Unterstützung zum Zwerchfell zu liefern. Das Beatmungsgerät fungiert als zweiter Inspirationsmuskel – perfekt mit der Patientin/dem Patienten synchronisiert.</t>
        </is>
      </c>
      <c r="E657" t="inlineStr" s="0">
        <is>
          <t xml:space="preserve">Medium</t>
        </is>
      </c>
      <c r="F657" s="4"/>
      <c r="G657" t="inlineStr" s="2">
        <is>
          <t xml:space="preserve">Stärke und Zeitpunkt jedes einzelnen unserer Atemzüge werden vom Atemzentrum des Gehirns gesteuert. Nachdem das Gehirn verschiedene sensorische Signale verarbeitet hat, sendet es ein Signal über den Phrenikusnerv, um das Zwerchfell elektrisch zu aktivieren, was zu einer Muskelkontraktion führt. Das Zwerchfell kontrahiert in die Bauchhöhle, was zu einer Abwärtsbewegung führt, die eine Expansion der Thoraxwand und der Lunge zur Folge hat.</t>
        </is>
      </c>
      <c r="H657" t="inlineStr" s="2">
        <is>
          <t xml:space="preserve">Die elektrische Entladung des Zwerchfells wird von einer speziellen nasogastralen Ernährungssonde erfasst, die mit einer Reihe von Mikroelektroden (dem Edi-Katheter) ausgestattet ist. Wie eine normale enterale Ernährungssonde passiert der Edi-Katheter den Ösophagus, von wo aus er die elektrische Aktivität des Zwerchfells misst.</t>
        </is>
      </c>
      <c r="I657" s="2"/>
      <c r="J657" s="4"/>
      <c r="K657" s="2"/>
      <c r="L657" t="str" s="3">
        <f>HYPERLINK("https://www.getinge.com/de/produkte/nava/","/produkte/nava/")</f>
        <v>/produkte/nava/</v>
      </c>
    </row>
    <row r="658">
      <c r="A658" s="0">
        <v>657</v>
      </c>
      <c r="B658" t="str" s="3">
        <f>HYPERLINK("https://www.getinge.com/int/products/picco/","/products/picco/")</f>
        <v>/products/picco/</v>
      </c>
      <c r="C658" t="inlineStr" s="2">
        <is>
          <t xml:space="preserve">Hemodynamic monitoring at the highest level</t>
        </is>
      </c>
      <c r="D658" t="inlineStr" s="2">
        <is>
          <t xml:space="preserve">Hämodynamisches Monitoring auf höchstem Niveau</t>
        </is>
      </c>
      <c r="E658" t="inlineStr" s="0">
        <is>
          <t xml:space="preserve">Medium</t>
        </is>
      </c>
      <c r="F658" s="4"/>
      <c r="G658" t="inlineStr" s="2">
        <is>
          <t xml:space="preserve">Erweitern Sie Ihr Wissen mit unserem E-Learning- und Schulungsangebot</t>
        </is>
      </c>
      <c r="H658" s="2"/>
      <c r="I658" s="2"/>
      <c r="J658" s="4"/>
      <c r="K658" s="2"/>
      <c r="L658" t="str" s="3">
        <f>HYPERLINK("https://www.getinge.com/de/produkte/picco/","/produkte/picco/")</f>
        <v>/produkte/picco/</v>
      </c>
    </row>
    <row r="659">
      <c r="A659" s="0">
        <v>658</v>
      </c>
      <c r="B659" t="str" s="3">
        <f>HYPERLINK("https://www.getinge.com/int/products/picco/","/products/picco/")</f>
        <v>/products/picco/</v>
      </c>
      <c r="C659" t="inlineStr" s="2">
        <is>
          <t xml:space="preserve">Monitoring physiological parameters is essential for the goal directed management of critical care patients. Highly invasive monitoring methods have been established in clinical practice for many years, but are increasingly the centre of critical discussion. The PiCCO Technology is the solution.</t>
        </is>
      </c>
      <c r="D659" t="inlineStr" s="2">
        <is>
          <t xml:space="preserve">Das Monitoring physiologischer Parameter ist ein entscheidender Faktor für das zielgerichtete Management kritisch kranker Patientinnen und Patienten. Lange Zeit beherrschten stark invasive Monitoring-Methoden die klinische Praxis, werden aber immer häufiger kritisch diskutiert.</t>
        </is>
      </c>
      <c r="E659" t="inlineStr" s="0">
        <is>
          <t xml:space="preserve">Medium</t>
        </is>
      </c>
      <c r="F659" s="4"/>
      <c r="G659" s="2"/>
      <c r="H659" s="2"/>
      <c r="I659" s="2"/>
      <c r="J659" s="4"/>
      <c r="K659" t="inlineStr" s="2">
        <is>
          <t xml:space="preserve">protected-token-mismatch: missing in target: PiCCO</t>
        </is>
      </c>
      <c r="L659" t="str" s="3">
        <f>HYPERLINK("https://www.getinge.com/de/produkte/picco/","/produkte/picco/")</f>
        <v>/produkte/picco/</v>
      </c>
    </row>
    <row r="660">
      <c r="A660" s="0">
        <v>659</v>
      </c>
      <c r="B660" t="str" s="3">
        <f>HYPERLINK("https://www.getinge.com/int/products/picco/","/products/picco/")</f>
        <v>/products/picco/</v>
      </c>
      <c r="C660" t="inlineStr" s="2">
        <is>
          <t xml:space="preserve">Simplify hemodynamics and learn how to understand complex conditions with PiCCO</t>
        </is>
      </c>
      <c r="D660" t="inlineStr" s="2">
        <is>
          <t xml:space="preserve">Vereinfachen Sie die Messung der Hämodynamik und lernen Sie komplexe Krankheitsbilder mit PiCCO zu verstehen.</t>
        </is>
      </c>
      <c r="E660" t="inlineStr" s="0">
        <is>
          <t xml:space="preserve">Medium</t>
        </is>
      </c>
      <c r="F660" s="4"/>
      <c r="G660" t="inlineStr" s="2">
        <is>
          <t xml:space="preserve">Erweitern Sie Ihr Wissen mit unserem E-Learning- und Schulungsangebot</t>
        </is>
      </c>
      <c r="H660" t="inlineStr" s="2">
        <is>
          <t xml:space="preserve">Wenn Sie weitere Informationen zu unseren Präsenzveranstaltungen oder Remote-Schulungen wünschen, wenden Sie sich an Ihr lokales Vertriebs- und Serviceteam.</t>
        </is>
      </c>
      <c r="I660" s="2"/>
      <c r="J660" s="4"/>
      <c r="K660" s="2"/>
      <c r="L660" t="str" s="3">
        <f>HYPERLINK("https://www.getinge.com/de/produkte/picco/","/produkte/picco/")</f>
        <v>/produkte/picco/</v>
      </c>
    </row>
    <row r="661">
      <c r="A661" s="0">
        <v>660</v>
      </c>
      <c r="B661" t="str" s="3">
        <f>HYPERLINK("https://www.getinge.com/int/products/pro-control/","/products/pro-control/")</f>
        <v>/products/pro-control/</v>
      </c>
      <c r="C661" t="inlineStr" s="2">
        <is>
          <t xml:space="preserve">Sensors</t>
        </is>
      </c>
      <c r="D661" t="inlineStr" s="2">
        <is>
          <t xml:space="preserve">Sensoren</t>
        </is>
      </c>
      <c r="E661" t="inlineStr" s="0">
        <is>
          <t xml:space="preserve">High</t>
        </is>
      </c>
      <c r="F661" s="4"/>
      <c r="G661" t="inlineStr" s="2">
        <is>
          <t xml:space="preserve">Steuerung</t>
        </is>
      </c>
      <c r="H661" t="inlineStr" s="2">
        <is>
          <t xml:space="preserve">SUPR</t>
        </is>
      </c>
      <c r="I661" t="inlineStr" s="2">
        <is>
          <t xml:space="preserve">Aktoren (optional)</t>
        </is>
      </c>
      <c r="J661" s="4"/>
      <c r="K661" s="2"/>
      <c r="L661" t="str" s="3">
        <f>HYPERLINK("https://www.getinge.com/de/produkte/pro-control/","/produkte/pro-control/")</f>
        <v>/produkte/pro-control/</v>
      </c>
    </row>
    <row r="662">
      <c r="A662" s="0">
        <v>661</v>
      </c>
      <c r="B662" t="str" s="3">
        <f>HYPERLINK("https://www.getinge.com/int/products/pro-control/","/products/pro-control/")</f>
        <v>/products/pro-control/</v>
      </c>
      <c r="C662" t="inlineStr" s="2">
        <is>
          <t xml:space="preserve">SUPR</t>
        </is>
      </c>
      <c r="D662" s="2"/>
      <c r="F662" s="4"/>
      <c r="G662" t="inlineStr" s="2">
        <is>
          <t xml:space="preserve">Sensoren</t>
        </is>
      </c>
      <c r="H662" t="inlineStr" s="2">
        <is>
          <t xml:space="preserve">Steuerung</t>
        </is>
      </c>
      <c r="I662" s="2"/>
      <c r="J662" s="4"/>
      <c r="K662" s="2"/>
      <c r="L662" t="str" s="3">
        <f>HYPERLINK("https://www.getinge.com/de/produkte/pro-control/","/produkte/pro-control/")</f>
        <v>/produkte/pro-control/</v>
      </c>
    </row>
    <row r="663">
      <c r="A663" s="0">
        <v>662</v>
      </c>
      <c r="B663" t="str" s="3">
        <f>HYPERLINK("https://www.getinge.com/int/products/pro-control/","/products/pro-control/")</f>
        <v>/products/pro-control/</v>
      </c>
      <c r="C663" t="inlineStr" s="2">
        <is>
          <t xml:space="preserve">BioPilot / BioProduction</t>
        </is>
      </c>
      <c r="D663" t="inlineStr" s="2">
        <is>
          <t xml:space="preserve">BioPilot/BioProduction</t>
        </is>
      </c>
      <c r="E663" t="inlineStr" s="0">
        <is>
          <t xml:space="preserve">High</t>
        </is>
      </c>
      <c r="F663" s="4"/>
      <c r="G663" t="inlineStr" s="2">
        <is>
          <t xml:space="preserve">Aktoren (optional)</t>
        </is>
      </c>
      <c r="H663" s="2"/>
      <c r="I663" s="2"/>
      <c r="J663" s="4"/>
      <c r="K663" s="2"/>
      <c r="L663" t="str" s="3">
        <f>HYPERLINK("https://www.getinge.com/de/produkte/pro-control/","/produkte/pro-control/")</f>
        <v>/produkte/pro-control/</v>
      </c>
    </row>
    <row r="664">
      <c r="A664" s="0">
        <v>663</v>
      </c>
      <c r="B664" t="str" s="3">
        <f>HYPERLINK("https://www.getinge.com/int/products/pro-control/","/products/pro-control/")</f>
        <v>/products/pro-control/</v>
      </c>
      <c r="C664" t="inlineStr" s="2">
        <is>
          <t xml:space="preserve">Actuators (optional)</t>
        </is>
      </c>
      <c r="D664" t="inlineStr" s="2">
        <is>
          <t xml:space="preserve">Aktoren (optional)</t>
        </is>
      </c>
      <c r="E664" t="inlineStr" s="0">
        <is>
          <t xml:space="preserve">Medium</t>
        </is>
      </c>
      <c r="F664" s="4"/>
      <c r="G664" t="inlineStr" s="2">
        <is>
          <t xml:space="preserve">BioPilot/BioProduction</t>
        </is>
      </c>
      <c r="H664" s="2"/>
      <c r="I664" s="2"/>
      <c r="J664" s="4"/>
      <c r="K664" s="2"/>
      <c r="L664" t="str" s="3">
        <f>HYPERLINK("https://www.getinge.com/de/produkte/pro-control/","/produkte/pro-control/")</f>
        <v>/produkte/pro-control/</v>
      </c>
    </row>
    <row r="665">
      <c r="A665" s="0">
        <v>664</v>
      </c>
      <c r="B665" t="str" s="3">
        <f>HYPERLINK("https://www.getinge.com/int/products/pro-control/","/products/pro-control/")</f>
        <v>/products/pro-control/</v>
      </c>
      <c r="C665" t="inlineStr" s="2">
        <is>
          <t xml:space="preserve">Control</t>
        </is>
      </c>
      <c r="D665" s="2"/>
      <c r="F665" s="4"/>
      <c r="G665" t="inlineStr" s="2">
        <is>
          <t xml:space="preserve">Steuerung</t>
        </is>
      </c>
      <c r="H665" t="inlineStr" s="2">
        <is>
          <t xml:space="preserve">Sensoren</t>
        </is>
      </c>
      <c r="I665" t="inlineStr" s="2">
        <is>
          <t xml:space="preserve">SUPR</t>
        </is>
      </c>
      <c r="J665" s="4"/>
      <c r="K665" s="2"/>
      <c r="L665" t="str" s="3">
        <f>HYPERLINK("https://www.getinge.com/de/produkte/pro-control/","/produkte/pro-control/")</f>
        <v>/produkte/pro-control/</v>
      </c>
    </row>
    <row r="666">
      <c r="A666" s="0">
        <v>665</v>
      </c>
      <c r="B666" t="str" s="3">
        <f>HYPERLINK("https://www.getinge.com/int/products/t-doc-2000/","/products/t-doc-2000/")</f>
        <v>/products/t-doc-2000/</v>
      </c>
      <c r="C666" t="inlineStr" s="2">
        <is>
          <t xml:space="preserve">T-DOC fully supports single instrument tracking and compliance with UDI regulations (Unique Device Identification). Combining your T-DOC solution with the Surgical Instrument Marking Solution provides a solid foundation for tracking and documenting the reprocessing and handling of single instruments. The Surgical Instrument Marking Solution offers permanent, non-destructive and high-quality marking of instruments, endoscopes, tags and trays, improving efficiency and accountability. The solution is sold in collaboration between Pryor and Getinge.</t>
        </is>
      </c>
      <c r="D666" s="2"/>
      <c r="F666" s="4"/>
      <c r="G666" t="inlineStr" s="2">
        <is>
          <t xml:space="preserve">T-DOC unterstützt die Rückverfolgung einzelner Instrumente und die Einhaltung der UDI-Vorschriften (Unique Device Identification, Produktidentifizierungsnummer). Die Kombination Ihrer T-DOC-Lösung mit der Markierungslösung für chirurgische Instrumente schafft eine solide Basis für die Rückverfolgung und Dokumentation der Aufbereitung und Handhabung einzelner Instrumente.</t>
        </is>
      </c>
      <c r="H666" t="inlineStr" s="2">
        <is>
          <t xml:space="preserve">Die Kennzeichnungslösung für chirurgische Instrumente ermöglicht die dauerhafte, zerstörungsfreie und hochwertige Kennzeichnung von Instrumenten, Endoskopen, Etiketten und Sieben und verbessert so die Effizienz und Rückverfolgbarkeit. Die Lösung wird in Zusammenarbeit von Pryor und Getinge vertrieben.</t>
        </is>
      </c>
      <c r="I666" s="2"/>
      <c r="J666" s="4"/>
      <c r="K666" s="2"/>
      <c r="L666" t="str" s="3">
        <f>HYPERLINK("https://www.getinge.com/de/produkte/t-doc-2000/","/produkte/t-doc-2000/")</f>
        <v>/produkte/t-doc-2000/</v>
      </c>
    </row>
    <row r="667">
      <c r="A667" s="0">
        <v>666</v>
      </c>
      <c r="B667" t="str" s="3">
        <f>HYPERLINK("https://www.getinge.com/int/products/t-doc-endo/","/products/t-doc-endo/")</f>
        <v>/products/t-doc-endo/</v>
      </c>
      <c r="C667" t="inlineStr" s="2">
        <is>
          <t xml:space="preserve">Reliable delivery and continuous improvements</t>
        </is>
      </c>
      <c r="D667" t="inlineStr" s="2">
        <is>
          <t xml:space="preserve">Zuverlässige Bereitstellung und kontinuierliche Verbesserungen</t>
        </is>
      </c>
      <c r="E667" t="inlineStr" s="0">
        <is>
          <t xml:space="preserve">Medium</t>
        </is>
      </c>
      <c r="F667" s="4"/>
      <c r="G667" t="inlineStr" s="2">
        <is>
          <t xml:space="preserve">Tools zur technischen Kompatibilitätsprüfung</t>
        </is>
      </c>
      <c r="H667" t="inlineStr" s="2">
        <is>
          <t xml:space="preserve">Laufende Funktionsupdates und -upgrades</t>
        </is>
      </c>
      <c r="I667" t="inlineStr" s="2">
        <is>
          <t xml:space="preserve">Erweiterte Sicherheitsfunktionen</t>
        </is>
      </c>
      <c r="J667" s="4"/>
      <c r="K667" s="2"/>
      <c r="L667" t="str" s="3">
        <f>HYPERLINK("https://www.getinge.com/de/produkte/t-doc-endo/","/produkte/t-doc-endo/")</f>
        <v>/produkte/t-doc-endo/</v>
      </c>
    </row>
    <row r="668">
      <c r="A668" s="0">
        <v>667</v>
      </c>
      <c r="B668" t="str" s="3">
        <f>HYPERLINK("https://www.getinge.com/int/products/t-doc-endo/","/products/t-doc-endo/")</f>
        <v>/products/t-doc-endo/</v>
      </c>
      <c r="C668" t="inlineStr" s="2">
        <is>
          <t xml:space="preserve">Online customer support portal</t>
        </is>
      </c>
      <c r="D668" t="inlineStr" s="2">
        <is>
          <t xml:space="preserve">Online-Kundensupport-Portal</t>
        </is>
      </c>
      <c r="E668" t="inlineStr" s="0">
        <is>
          <t xml:space="preserve">High</t>
        </is>
      </c>
      <c r="F668" s="4"/>
      <c r="G668" t="inlineStr" s="2">
        <is>
          <t xml:space="preserve">Erweiterte Sicherheitsfunktionen</t>
        </is>
      </c>
      <c r="H668" t="inlineStr" s="2">
        <is>
          <t xml:space="preserve">Laufende Funktionsupdates und -upgrades</t>
        </is>
      </c>
      <c r="I668" t="inlineStr" s="2">
        <is>
          <t xml:space="preserve">Überwachung der Systemleistung</t>
        </is>
      </c>
      <c r="J668" s="4"/>
      <c r="K668" s="2"/>
      <c r="L668" t="str" s="3">
        <f>HYPERLINK("https://www.getinge.com/de/produkte/t-doc-endo/","/produkte/t-doc-endo/")</f>
        <v>/produkte/t-doc-endo/</v>
      </c>
    </row>
    <row r="669">
      <c r="A669" s="0">
        <v>668</v>
      </c>
      <c r="B669" t="str" s="3">
        <f>HYPERLINK("https://www.getinge.com/int/products/talis-anesthesia-with-acg/","/products/talis-anesthesia-with-acg/")</f>
        <v>/products/talis-anesthesia-with-acg/</v>
      </c>
      <c r="C669" t="inlineStr" s="2">
        <is>
          <t xml:space="preserve">Talis Anesthesia with +ACG eliminates the cost and wasted time from manual data abstraction. Interactive dashboards simplify data management and provide insights into operational and clinical KPIs. The platform’s unified data dictionary standardizes data from various sources, ensuring consistency and ease of interpretation, and enables research. With simple data export to the EMR and authorized recipients, Talis Anesthesia supports informed decision-making at every level.</t>
        </is>
      </c>
      <c r="D669" t="inlineStr" s="2">
        <is>
          <t xml:space="preserve">Talis Anesthesia mit +ACG eliminiert die Kosten und den Zeitaufwand für die manuelle Datenerfassung. Interaktive Dashboards vereinfachen das Datenmanagement und bieten Einblicke in operative und klinische KPIs. Das einheitliche Datenwörterbuch der Plattform standardisiert Daten aus verschiedenen Quellen, gewährleistet Konsistenz und einfache Interpretation und ermöglicht die Forschung. Durch den einfachen Datenexport in die EMR und an autorisierte Empfänger unterstützt Talis Anesthesia fundierte Entscheidungen auf allen Levels.</t>
        </is>
      </c>
      <c r="E669" t="inlineStr" s="0">
        <is>
          <t xml:space="preserve">Medium</t>
        </is>
      </c>
      <c r="F669" s="4"/>
      <c r="G669" s="2"/>
      <c r="H669" s="2"/>
      <c r="I669" s="2"/>
      <c r="J669" s="4"/>
      <c r="K669" s="2"/>
      <c r="L669" t="str" s="3">
        <f>HYPERLINK("https://www.getinge.com/de/produkte/talis-anaesthesie-mit-acg/","/produkte/talis-anaesthesie-mit-acg/")</f>
        <v>/produkte/talis-anaesthesie-mit-acg/</v>
      </c>
    </row>
    <row r="670">
      <c r="A670" s="0">
        <v>669</v>
      </c>
      <c r="B670" t="str" s="3">
        <f>HYPERLINK("https://www.getinge.com/int/products/tegris/","/products/tegris/")</f>
        <v>/products/tegris/</v>
      </c>
      <c r="C670" t="inlineStr" s="2">
        <is>
          <t xml:space="preserve">“The improvements delivered by Tegris go well beyond image quality and integration. Our workflows are more efficient now. Surgeons and nurses alike are happier and enjoy a less stressful work environment.”</t>
        </is>
      </c>
      <c r="D670" t="inlineStr" s="2">
        <is>
          <t xml:space="preserve">“Die Verbesserungen durch Tegris gehen weit über die Bildqualität und Integration hinaus. Unsere Arbeitsabläufe sind jetzt effizienter. Chirurgen und Pflegekräfte sind zufriedener und arbeiten in einer stressfreieren Umgebung.”</t>
        </is>
      </c>
      <c r="E670" t="inlineStr" s="0">
        <is>
          <t xml:space="preserve">Medium</t>
        </is>
      </c>
      <c r="F670" s="4"/>
      <c r="G670" s="2"/>
      <c r="H670" s="2"/>
      <c r="I670" s="2"/>
      <c r="J670" s="4"/>
      <c r="K670" s="2"/>
      <c r="L670" t="str" s="3">
        <f>HYPERLINK("https://www.getinge.com/de/produkte/tegris/","/produkte/tegris/")</f>
        <v>/produkte/tegris/</v>
      </c>
    </row>
    <row r="671">
      <c r="A671" s="0">
        <v>670</v>
      </c>
      <c r="B671" t="str" s="3">
        <f>HYPERLINK("https://www.getinge.com/int/products/tegris/","/products/tegris/")</f>
        <v>/products/tegris/</v>
      </c>
      <c r="C671" t="inlineStr" s="2">
        <is>
          <t xml:space="preserve">Unlock the benefits of OR Integration</t>
        </is>
      </c>
      <c r="D671" t="inlineStr" s="2">
        <is>
          <t xml:space="preserve">Nutzen Sie die Vorteile der OR-Integration</t>
        </is>
      </c>
      <c r="E671" t="inlineStr" s="0">
        <is>
          <t xml:space="preserve">Medium</t>
        </is>
      </c>
      <c r="F671" s="4"/>
      <c r="G671" t="inlineStr" s="2">
        <is>
          <t xml:space="preserve">Schnellere Genesungszeiten der Patienten[1]</t>
        </is>
      </c>
      <c r="H671" t="inlineStr" s="2">
        <is>
          <t xml:space="preserve">Krankenhausaufenthalte verkürzen[1]</t>
        </is>
      </c>
      <c r="I671" s="2"/>
      <c r="J671" s="4"/>
      <c r="K671" s="2"/>
      <c r="L671" t="str" s="3">
        <f>HYPERLINK("https://www.getinge.com/de/produkte/tegris/","/produkte/tegris/")</f>
        <v>/produkte/tegris/</v>
      </c>
    </row>
    <row r="672">
      <c r="A672" s="0">
        <v>671</v>
      </c>
      <c r="B672" t="str" s="3">
        <f>HYPERLINK("https://www.getinge.com/int/products/tegris/","/products/tegris/")</f>
        <v>/products/tegris/</v>
      </c>
      <c r="C672" t="inlineStr" s="2">
        <is>
          <t xml:space="preserve">Reduce patient infection[1]</t>
        </is>
      </c>
      <c r="D672" t="inlineStr" s="2">
        <is>
          <t xml:space="preserve">Krankenhausaufenthalte verkürzen[1]</t>
        </is>
      </c>
      <c r="E672" t="inlineStr" s="0">
        <is>
          <t xml:space="preserve">Medium</t>
        </is>
      </c>
      <c r="F672" s="4"/>
      <c r="G672" t="inlineStr" s="2">
        <is>
          <t xml:space="preserve">Schnellere Genesungszeiten der Patienten[1]</t>
        </is>
      </c>
      <c r="H672" t="inlineStr" s="2">
        <is>
          <t xml:space="preserve">Nutzen Sie die Vorteile der OR-Integration</t>
        </is>
      </c>
      <c r="I672" s="2"/>
      <c r="J672" s="4"/>
      <c r="K672" s="2"/>
      <c r="L672" t="str" s="3">
        <f>HYPERLINK("https://www.getinge.com/de/produkte/tegris/","/produkte/tegris/")</f>
        <v>/produkte/tegris/</v>
      </c>
    </row>
    <row r="673">
      <c r="A673" s="0">
        <v>672</v>
      </c>
      <c r="B673" t="str" s="3">
        <f>HYPERLINK("https://www.getinge.com/int/products/tegris/","/products/tegris/")</f>
        <v>/products/tegris/</v>
      </c>
      <c r="C673" t="inlineStr" s="2">
        <is>
          <t xml:space="preserve">Shorten hospital stays[1]</t>
        </is>
      </c>
      <c r="D673" s="2"/>
      <c r="F673" s="4"/>
      <c r="G673" t="inlineStr" s="2">
        <is>
          <t xml:space="preserve">Krankenhausaufenthalte verkürzen[1]</t>
        </is>
      </c>
      <c r="H673" t="inlineStr" s="2">
        <is>
          <t xml:space="preserve">Schnellere Genesungszeiten der Patienten[1]</t>
        </is>
      </c>
      <c r="I673" s="2"/>
      <c r="J673" s="4"/>
      <c r="K673" s="2"/>
      <c r="L673" t="str" s="3">
        <f>HYPERLINK("https://www.getinge.com/de/produkte/tegris/","/produkte/tegris/")</f>
        <v>/produkte/tegris/</v>
      </c>
    </row>
    <row r="674">
      <c r="A674" s="0">
        <v>673</v>
      </c>
      <c r="B674" t="str" s="3">
        <f>HYPERLINK("https://www.getinge.com/int/products/tegris/","/products/tegris/")</f>
        <v>/products/tegris/</v>
      </c>
      <c r="C674" t="inlineStr" s="2">
        <is>
          <t xml:space="preserve">Faster patient recovery times[1]</t>
        </is>
      </c>
      <c r="D674" t="inlineStr" s="2">
        <is>
          <t xml:space="preserve">Schnellere Genesungszeiten der Patienten[1]</t>
        </is>
      </c>
      <c r="E674" t="inlineStr" s="0">
        <is>
          <t xml:space="preserve">High</t>
        </is>
      </c>
      <c r="F674" s="4"/>
      <c r="G674" t="inlineStr" s="2">
        <is>
          <t xml:space="preserve">Krankenhausaufenthalte verkürzen[1]</t>
        </is>
      </c>
      <c r="H674" t="inlineStr" s="2">
        <is>
          <t xml:space="preserve">Nutzen Sie die Vorteile der OR-Integration</t>
        </is>
      </c>
      <c r="I674" s="2"/>
      <c r="J674" s="4"/>
      <c r="K674" s="2"/>
      <c r="L674" t="str" s="3">
        <f>HYPERLINK("https://www.getinge.com/de/produkte/tegris/","/produkte/tegris/")</f>
        <v>/produkte/tegris/</v>
      </c>
    </row>
    <row r="675">
      <c r="A675" s="0">
        <v>674</v>
      </c>
      <c r="B675" t="str" s="3">
        <f>HYPERLINK("https://www.getinge.com/int/products/tegris/","/products/tegris/")</f>
        <v>/products/tegris/</v>
      </c>
      <c r="C675" t="inlineStr" s="2">
        <is>
          <t xml:space="preserve">Access surgical live video and audio - Peer to peer consultancy - Education - Conferences</t>
        </is>
      </c>
      <c r="D675" s="2"/>
      <c r="F675" s="4"/>
      <c r="G675" t="inlineStr" s="2">
        <is>
          <t xml:space="preserve">Überblick über den Live-Status aller verbundenen OP-Säle</t>
        </is>
      </c>
      <c r="H675" t="inlineStr" s="2">
        <is>
          <t xml:space="preserve">Konferenzen</t>
        </is>
      </c>
      <c r="I675" t="inlineStr" s="2">
        <is>
          <t xml:space="preserve">Reduzierung der Anzahl von Experten und Türbewegungen im OP</t>
        </is>
      </c>
      <c r="J675" s="4"/>
      <c r="K675" s="2"/>
      <c r="L675" t="str" s="3">
        <f>HYPERLINK("https://www.getinge.com/de/produkte/tegris/","/produkte/tegris/")</f>
        <v>/produkte/tegris/</v>
      </c>
    </row>
    <row r="676">
      <c r="A676" s="0">
        <v>675</v>
      </c>
      <c r="B676" t="str" s="3">
        <f>HYPERLINK("https://www.getinge.com/int/products/tegris/","/products/tegris/")</f>
        <v>/products/tegris/</v>
      </c>
      <c r="C676" t="inlineStr" s="2">
        <is>
          <t xml:space="preserve">Get an overview of all connected OR’s live status</t>
        </is>
      </c>
      <c r="D676" t="inlineStr" s="2">
        <is>
          <t xml:space="preserve">Überblick über den Live-Status aller verbundenen OP-Säle</t>
        </is>
      </c>
      <c r="E676" t="inlineStr" s="0">
        <is>
          <t xml:space="preserve">Medium</t>
        </is>
      </c>
      <c r="F676" s="4"/>
      <c r="G676" t="inlineStr" s="2">
        <is>
          <t xml:space="preserve">OR Live Sharing ist als eigenständige Lösung verfügbar.</t>
        </is>
      </c>
      <c r="H676" t="inlineStr" s="2">
        <is>
          <t xml:space="preserve">Reduzierung der Anzahl von Experten und Türbewegungen im OP</t>
        </is>
      </c>
      <c r="I676" s="2"/>
      <c r="J676" s="4"/>
      <c r="K676" s="2"/>
      <c r="L676" t="str" s="3">
        <f>HYPERLINK("https://www.getinge.com/de/produkte/tegris/","/produkte/tegris/")</f>
        <v>/produkte/tegris/</v>
      </c>
    </row>
    <row r="677">
      <c r="A677" s="0">
        <v>676</v>
      </c>
      <c r="B677" t="str" s="3">
        <f>HYPERLINK("https://www.getinge.com/int/products/tegris/","/products/tegris/")</f>
        <v>/products/tegris/</v>
      </c>
      <c r="C677" t="inlineStr" s="2">
        <is>
          <t xml:space="preserve">Reduced numbers of experts and door movements in the OR</t>
        </is>
      </c>
      <c r="D677" t="inlineStr" s="2">
        <is>
          <t xml:space="preserve">Reduzierung der Anzahl von Experten und Türbewegungen im OP</t>
        </is>
      </c>
      <c r="E677" t="inlineStr" s="0">
        <is>
          <t xml:space="preserve">Medium</t>
        </is>
      </c>
      <c r="F677" s="4"/>
      <c r="G677" t="inlineStr" s="2">
        <is>
          <t xml:space="preserve">Überblick über den Live-Status aller verbundenen OP-Säle</t>
        </is>
      </c>
      <c r="H677" t="inlineStr" s="2">
        <is>
          <t xml:space="preserve">OR Live Sharing ist als eigenständige Lösung verfügbar.</t>
        </is>
      </c>
      <c r="I677" s="2"/>
      <c r="J677" s="4"/>
      <c r="K677" s="2"/>
      <c r="L677" t="str" s="3">
        <f>HYPERLINK("https://www.getinge.com/de/produkte/tegris/","/produkte/tegris/")</f>
        <v>/produkte/tegris/</v>
      </c>
    </row>
    <row r="678">
      <c r="A678" s="0">
        <v>677</v>
      </c>
      <c r="B678" t="str" s="3">
        <f>HYPERLINK("https://www.getinge.com/int/products/tegris/","/products/tegris/")</f>
        <v>/products/tegris/</v>
      </c>
      <c r="C678" t="inlineStr" s="2">
        <is>
          <t xml:space="preserve">OR Live Sharing is available as a stand-alone solution</t>
        </is>
      </c>
      <c r="D678" t="inlineStr" s="2">
        <is>
          <t xml:space="preserve">OR Live Sharing ist als eigenständige Lösung verfügbar.</t>
        </is>
      </c>
      <c r="E678" t="inlineStr" s="0">
        <is>
          <t xml:space="preserve">Medium</t>
        </is>
      </c>
      <c r="F678" s="4"/>
      <c r="G678" t="inlineStr" s="2">
        <is>
          <t xml:space="preserve">Überblick über den Live-Status aller verbundenen OP-Säle</t>
        </is>
      </c>
      <c r="H678" t="inlineStr" s="2">
        <is>
          <t xml:space="preserve">Reduzierung der Anzahl von Experten und Türbewegungen im OP</t>
        </is>
      </c>
      <c r="I678" s="2"/>
      <c r="J678" s="4"/>
      <c r="K678" s="2"/>
      <c r="L678" t="str" s="3">
        <f>HYPERLINK("https://www.getinge.com/de/produkte/tegris/","/produkte/tegris/")</f>
        <v>/produkte/tegris/</v>
      </c>
    </row>
    <row r="679">
      <c r="A679" s="0">
        <v>678</v>
      </c>
      <c r="B679" t="str" s="3">
        <f>HYPERLINK("https://www.getinge.com/int/products/tegris/","/products/tegris/")</f>
        <v>/products/tegris/</v>
      </c>
      <c r="C679" t="inlineStr" s="2">
        <is>
          <t xml:space="preserve">ISO 62304, Software life cycle processes for Medical Device software</t>
        </is>
      </c>
      <c r="D679" t="inlineStr" s="2">
        <is>
          <t xml:space="preserve">ISO 62304, Software-Lebenszyklusprozesse für Medizinprodukte-Software</t>
        </is>
      </c>
      <c r="E679" t="inlineStr" s="0">
        <is>
          <t xml:space="preserve">High</t>
        </is>
      </c>
      <c r="F679" s="4"/>
      <c r="G679" t="inlineStr" s="2">
        <is>
          <t xml:space="preserve">ISO 14971, Anwendung des Risikomanagements auf Medizinprodukte</t>
        </is>
      </c>
      <c r="H679" s="2"/>
      <c r="I679" s="2"/>
      <c r="J679" s="4"/>
      <c r="K679" s="2"/>
      <c r="L679" t="str" s="3">
        <f>HYPERLINK("https://www.getinge.com/de/produkte/tegris/","/produkte/tegris/")</f>
        <v>/produkte/tegris/</v>
      </c>
    </row>
    <row r="680">
      <c r="A680" s="0">
        <v>679</v>
      </c>
      <c r="B680" t="str" s="3">
        <f>HYPERLINK("https://www.getinge.com/int/products/tegris/","/products/tegris/")</f>
        <v>/products/tegris/</v>
      </c>
      <c r="C680" t="inlineStr" s="2">
        <is>
          <t xml:space="preserve">ISO 14971, Application of risk management to medical devices</t>
        </is>
      </c>
      <c r="D680" t="inlineStr" s="2">
        <is>
          <t xml:space="preserve">ISO 14971, Anwendung des Risikomanagements auf Medizinprodukte</t>
        </is>
      </c>
      <c r="E680" t="inlineStr" s="0">
        <is>
          <t xml:space="preserve">High</t>
        </is>
      </c>
      <c r="F680" s="4"/>
      <c r="G680" t="inlineStr" s="2">
        <is>
          <t xml:space="preserve">ISO 62304, Software-Lebenszyklusprozesse für Medizinprodukte-Software</t>
        </is>
      </c>
      <c r="H680" s="2"/>
      <c r="I680" s="2"/>
      <c r="J680" s="4"/>
      <c r="K680" s="2"/>
      <c r="L680" t="str" s="3">
        <f>HYPERLINK("https://www.getinge.com/de/produkte/tegris/","/produkte/tegris/")</f>
        <v>/produkte/tegris/</v>
      </c>
    </row>
    <row r="681">
      <c r="A681" s="0">
        <v>680</v>
      </c>
      <c r="B681" t="str" s="3">
        <f>HYPERLINK("https://www.getinge.com/int/products/tegris/","/products/tegris/")</f>
        <v>/products/tegris/</v>
      </c>
      <c r="C681" t="inlineStr" s="2">
        <is>
          <t xml:space="preserve">Proactive cybersecurity risk management</t>
        </is>
      </c>
      <c r="D681" t="inlineStr" s="2">
        <is>
          <t xml:space="preserve">Proaktives Cybersicherheits-Risikomanagement</t>
        </is>
      </c>
      <c r="E681" t="inlineStr" s="0">
        <is>
          <t xml:space="preserve">High</t>
        </is>
      </c>
      <c r="F681" s="4"/>
      <c r="G681" t="inlineStr" s="2">
        <is>
          <t xml:space="preserve">Proaktive Schwachstellensuche</t>
        </is>
      </c>
      <c r="H681" t="inlineStr" s="2">
        <is>
          <t xml:space="preserve">Überwachung nach dem Inverkehrbringen:</t>
        </is>
      </c>
      <c r="I681" t="inlineStr" s="2">
        <is>
          <t xml:space="preserve">Konform mit den folgenden Normen</t>
        </is>
      </c>
      <c r="J681" s="4"/>
      <c r="K681" s="2"/>
      <c r="L681" t="str" s="3">
        <f>HYPERLINK("https://www.getinge.com/de/produkte/tegris/","/produkte/tegris/")</f>
        <v>/produkte/tegris/</v>
      </c>
    </row>
    <row r="682">
      <c r="A682" s="0">
        <v>681</v>
      </c>
      <c r="B682" t="str" s="3">
        <f>HYPERLINK("https://www.getinge.com/int/products/torin-plan-optimizer/","/products/torin-plan-optimizer/")</f>
        <v>/products/torin-plan-optimizer/</v>
      </c>
      <c r="C682" t="inlineStr" s="2">
        <is>
          <t xml:space="preserve">Operating room efficiency depends on more than the procedure itself. Time between cases can add up across the surgical day, making planning and coordination important parts of how available OR capacity is used.</t>
        </is>
      </c>
      <c r="D682" t="inlineStr" s="2">
        <is>
          <t xml:space="preserve">Die Effizienz eines Operationssaals hängt nicht nur vom Vorgang selbst ab. Die Wartezeiten zwischen den einzelnen Vorgängen können sich im Laufe eines Operationstages summieren, weshalb Planung und Koordination wichtige Faktoren für die Nutzung der verfügbaren OP-Kapazitäten sind.</t>
        </is>
      </c>
      <c r="E682" t="inlineStr" s="0">
        <is>
          <t xml:space="preserve">Medium</t>
        </is>
      </c>
      <c r="F682" s="4"/>
      <c r="G682" s="2"/>
      <c r="H682" s="2"/>
      <c r="I682" s="2"/>
      <c r="J682" s="4"/>
      <c r="K682" s="2"/>
      <c r="L682" t="str" s="3">
        <f>HYPERLINK("https://www.getinge.com/de/produkte/torin-plan-optimizer/","/produkte/torin-plan-optimizer/")</f>
        <v>/produkte/torin-plan-optimizer/</v>
      </c>
    </row>
    <row r="683">
      <c r="A683" s="0">
        <v>682</v>
      </c>
      <c r="B683" t="str" s="3">
        <f>HYPERLINK("https://www.getinge.com/int/products/torin-plan-optimizer/","/products/torin-plan-optimizer/")</f>
        <v>/products/torin-plan-optimizer/</v>
      </c>
      <c r="C683" t="inlineStr" s="2">
        <is>
          <t xml:space="preserve">AI-supported surgical planning can help teams anticipate needs earlier and identify potential constraints before they disrupt the schedule.</t>
        </is>
      </c>
      <c r="D683" s="2"/>
      <c r="F683" s="4"/>
      <c r="G683" t="inlineStr" s="2">
        <is>
          <t xml:space="preserve">Die Effizienz eines Operationssaals hängt nicht nur vom Vorgang selbst ab. Die Wartezeiten zwischen den einzelnen Vorgängen können sich im Laufe eines Operationstages summieren, weshalb Planung und Koordination wichtige Faktoren für die Nutzung der verfügbaren OP-Kapazitäten sind.</t>
        </is>
      </c>
      <c r="H683" s="2"/>
      <c r="I683" s="2"/>
      <c r="J683" s="4"/>
      <c r="K683" s="2"/>
      <c r="L683" t="str" s="3">
        <f>HYPERLINK("https://www.getinge.com/de/produkte/torin-plan-optimizer/","/produkte/torin-plan-optimizer/")</f>
        <v>/produkte/torin-plan-optimizer/</v>
      </c>
    </row>
    <row r="684">
      <c r="A684" s="0">
        <v>683</v>
      </c>
      <c r="B684" t="str" s="3">
        <f>HYPERLINK("https://www.getinge.com/int/products/vasoview-hemopro-2-endoscopic-vessel-harvesting-system/","/products/vasoview-hemopro-2-endoscopic-vessel-harvesting-system/")</f>
        <v>/products/vasoview-hemopro-2-endoscopic-vessel-harvesting-system/</v>
      </c>
      <c r="C684" t="inlineStr" s="2">
        <is>
          <t xml:space="preserve">The Vasoview Hemopro 2 Endoscopic Vessel Harvesting (EVH) System is indicated for use in minimally invasive surgery allowing access for vessel harvesting and is primarily indicated for patients undergoing endoscopic surgery for arterial bypass.</t>
        </is>
      </c>
      <c r="D684" t="inlineStr" s="2">
        <is>
          <t xml:space="preserve">Das Vasoview Hemopro 2 EVH-System unterstützt die minimalinvasive Entnahme von peripheren Bypassgefäßen und wurde speziell für den Einsatz zur endoskopischen Gefäßentnahmen im Rahmen arterieller Bypassoperationen entwickelt.</t>
        </is>
      </c>
      <c r="E684" t="inlineStr" s="0">
        <is>
          <t xml:space="preserve">High</t>
        </is>
      </c>
      <c r="F684" s="4"/>
      <c r="G684" t="inlineStr" s="2">
        <is>
          <t xml:space="preserve">Dank der speziell entwickelten Hemopro 2-Klemme können sowohl die Vena saphena als auch die Arteria radialis effizient präpariert werden. Das System ermöglicht das gleichzeitige Schneiden und Koagulieren von Seitenästen in einer einzigen, kontrollierten Bewegung.</t>
        </is>
      </c>
      <c r="H684" s="2"/>
      <c r="I684" s="2"/>
      <c r="J684" s="4"/>
      <c r="K684" s="2"/>
      <c r="L684" t="str" s="3">
        <f>HYPERLINK("https://www.getinge.com/de/produkte/vasoview-hemopro-2-endoskopisches-gefaess-entnahmesystem/","/produkte/vasoview-hemopro-2-endoskopisches-gefaess-entnahmesystem/")</f>
        <v>/produkte/vasoview-hemopro-2-endoskopisches-gefaess-entnahmesystem/</v>
      </c>
    </row>
    <row r="685">
      <c r="A685" s="0">
        <v>684</v>
      </c>
      <c r="B685" t="str" s="3">
        <f>HYPERLINK("https://www.getinge.com/int/products/vasoview-hemopro-2-endoscopic-vessel-harvesting-system/","/products/vasoview-hemopro-2-endoscopic-vessel-harvesting-system/")</f>
        <v>/products/vasoview-hemopro-2-endoscopic-vessel-harvesting-system/</v>
      </c>
      <c r="C685" t="inlineStr" s="2">
        <is>
          <t xml:space="preserve">Designed for harvesting both the saphenous vein and the radial artery, the Hemopro 2 Jaws provide cut and cautery capability in one smooth motion.</t>
        </is>
      </c>
      <c r="D685" t="inlineStr" s="2">
        <is>
          <t xml:space="preserve">Dank der speziell entwickelten Hemopro 2-Klemme können sowohl die Vena saphena als auch die Arteria radialis effizient präpariert werden. Das System ermöglicht das gleichzeitige Schneiden und Koagulieren von Seitenästen in einer einzigen, kontrollierten Bewegung.</t>
        </is>
      </c>
      <c r="E685" t="inlineStr" s="0">
        <is>
          <t xml:space="preserve">Low</t>
        </is>
      </c>
      <c r="F685" s="4"/>
      <c r="G685" t="inlineStr" s="2">
        <is>
          <t xml:space="preserve">Das Vasoview Hemopro 2 EVH-System unterstützt die minimalinvasive Entnahme von peripheren Bypassgefäßen und wurde speziell für den Einsatz zur endoskopischen Gefäßentnahmen im Rahmen arterieller Bypassoperationen entwickelt.</t>
        </is>
      </c>
      <c r="H685" t="inlineStr" s="2">
        <is>
          <t xml:space="preserve">Wenn Sie weitere Informationen zu unseren Präsenzveranstaltungen oder Remote-Schulungen wünschen, wenden Sie sich an Ihr lokales Vertriebs- und Serviceteam.</t>
        </is>
      </c>
      <c r="I685" s="2"/>
      <c r="J685" s="4"/>
      <c r="K685" s="2"/>
      <c r="L685" t="str" s="3">
        <f>HYPERLINK("https://www.getinge.com/de/produkte/vasoview-hemopro-2-endoskopisches-gefaess-entnahmesystem/","/produkte/vasoview-hemopro-2-endoskopisches-gefaess-entnahmesystem/")</f>
        <v>/produkte/vasoview-hemopro-2-endoskopisches-gefaess-entnahmesystem/</v>
      </c>
    </row>
    <row r="686">
      <c r="A686" s="0">
        <v>685</v>
      </c>
      <c r="B686" t="str" s="3">
        <f>HYPERLINK("https://www.getinge.com/int/products/vasoview-hemopro-2-endoscopic-vessel-harvesting-system/","/products/vasoview-hemopro-2-endoscopic-vessel-harvesting-system/")</f>
        <v>/products/vasoview-hemopro-2-endoscopic-vessel-harvesting-system/</v>
      </c>
      <c r="C686" t="inlineStr" s="2">
        <is>
          <t xml:space="preserve">ISMICS: Endoscopic vein and radial artery harvest should be the standard of care for patients who require these conduits for coronary revascularization[1]</t>
        </is>
      </c>
      <c r="D686" t="inlineStr" s="2">
        <is>
          <t xml:space="preserve">ISMICS: Die endoskopische Entnahme der Vena saphena und der Arteria radialis sollte der Behandlungsstandard für Patientinnen und Patienten sein, die diese Gefäße für eine koronare Revaskularisation benötigen. [1]</t>
        </is>
      </c>
      <c r="E686" t="inlineStr" s="0">
        <is>
          <t xml:space="preserve">High</t>
        </is>
      </c>
      <c r="F686" s="4"/>
      <c r="G686" t="inlineStr" s="2">
        <is>
          <t xml:space="preserve">ACC-, AHA- und SCAI-Empfehlungen: Bei Patientinnen und Patienten mit erhöhtem Risiko für Wundkomplikationen sollte eine endoskopische Entnahmetechnik der Vena saphena verwendet werden. [4]</t>
        </is>
      </c>
      <c r="H686" t="inlineStr" s="2">
        <is>
          <t xml:space="preserve">EACTS-Leitlinien: Die endoskopische Gefäßentnahme (EVH) sollte, sofern sie von erfahrenen Chirurginnen und Chirurgen durchgeführt wird, zur Verringerung der Häufigkeit von Wundkomplikationen in Betracht gezogen werden. [3]</t>
        </is>
      </c>
      <c r="I686" s="2"/>
      <c r="J686" s="4"/>
      <c r="K686" s="2"/>
      <c r="L686" t="str" s="3">
        <f>HYPERLINK("https://www.getinge.com/de/produkte/vasoview-hemopro-2-endoskopisches-gefaess-entnahmesystem/","/produkte/vasoview-hemopro-2-endoskopisches-gefaess-entnahmesystem/")</f>
        <v>/produkte/vasoview-hemopro-2-endoskopisches-gefaess-entnahmesystem/</v>
      </c>
    </row>
    <row r="687">
      <c r="A687" s="0">
        <v>686</v>
      </c>
      <c r="B687" t="str" s="3">
        <f>HYPERLINK("https://www.getinge.com/int/products/vasoview-hemopro-2-endoscopic-vessel-harvesting-system/","/products/vasoview-hemopro-2-endoscopic-vessel-harvesting-system/")</f>
        <v>/products/vasoview-hemopro-2-endoscopic-vessel-harvesting-system/</v>
      </c>
      <c r="C687" t="inlineStr" s="2">
        <is>
          <t xml:space="preserve">EACTS guidelines states: EVH, if performed by an experienced surgeons, should be considered to reduce the incidence of wound complications[3]</t>
        </is>
      </c>
      <c r="D687" t="inlineStr" s="2">
        <is>
          <t xml:space="preserve">EACTS-Leitlinien: Die endoskopische Gefäßentnahme (EVH) sollte, sofern sie von erfahrenen Chirurginnen und Chirurgen durchgeführt wird, zur Verringerung der Häufigkeit von Wundkomplikationen in Betracht gezogen werden. [3]</t>
        </is>
      </c>
      <c r="E687" t="inlineStr" s="0">
        <is>
          <t xml:space="preserve">Low</t>
        </is>
      </c>
      <c r="F687" s="4"/>
      <c r="G687" t="inlineStr" s="2">
        <is>
          <t xml:space="preserve">ACC-, AHA- und SCAI-Empfehlungen: Bei Patientinnen und Patienten mit erhöhtem Risiko für Wundkomplikationen sollte eine endoskopische Entnahmetechnik der Vena saphena verwendet werden. [4]</t>
        </is>
      </c>
      <c r="H687" s="2"/>
      <c r="I687" s="2"/>
      <c r="J687" s="4"/>
      <c r="K687" s="2"/>
      <c r="L687" t="str" s="3">
        <f>HYPERLINK("https://www.getinge.com/de/produkte/vasoview-hemopro-2-endoskopisches-gefaess-entnahmesystem/","/produkte/vasoview-hemopro-2-endoskopisches-gefaess-entnahmesystem/")</f>
        <v>/produkte/vasoview-hemopro-2-endoskopisches-gefaess-entnahmesystem/</v>
      </c>
    </row>
    <row r="688">
      <c r="A688" s="0">
        <v>687</v>
      </c>
      <c r="B688" t="str" s="3">
        <f>HYPERLINK("https://www.getinge.com/int/products/vasoview-hemopro-2-endoscopic-vessel-harvesting-system/","/products/vasoview-hemopro-2-endoscopic-vessel-harvesting-system/")</f>
        <v>/products/vasoview-hemopro-2-endoscopic-vessel-harvesting-system/</v>
      </c>
      <c r="C688" t="inlineStr" s="2">
        <is>
          <t xml:space="preserve">The ACC, AHA and SCAI best practices states: use an endoscopic saphenous vein harvest technique in patients at risk of wound complications.[4]</t>
        </is>
      </c>
      <c r="D688" t="inlineStr" s="2">
        <is>
          <t xml:space="preserve">ACC-, AHA- und SCAI-Empfehlungen: Bei Patientinnen und Patienten mit erhöhtem Risiko für Wundkomplikationen sollte eine endoskopische Entnahmetechnik der Vena saphena verwendet werden. [4]</t>
        </is>
      </c>
      <c r="E688" t="inlineStr" s="0">
        <is>
          <t xml:space="preserve">High</t>
        </is>
      </c>
      <c r="F688" s="4"/>
      <c r="G688" t="inlineStr" s="2">
        <is>
          <t xml:space="preserve">ISMICS: Die endoskopische Entnahme der Vena saphena und der Arteria radialis sollte der Behandlungsstandard für Patientinnen und Patienten sein, die diese Gefäße für eine koronare Revaskularisation benötigen. [1]</t>
        </is>
      </c>
      <c r="H688" s="2"/>
      <c r="I688" s="2"/>
      <c r="J688" s="4"/>
      <c r="K688" s="2"/>
      <c r="L688" t="str" s="3">
        <f>HYPERLINK("https://www.getinge.com/de/produkte/vasoview-hemopro-2-endoskopisches-gefaess-entnahmesystem/","/produkte/vasoview-hemopro-2-endoskopisches-gefaess-entnahmesystem/")</f>
        <v>/produkte/vasoview-hemopro-2-endoskopisches-gefaess-entnahmesystem/</v>
      </c>
    </row>
    <row r="689">
      <c r="A689" s="0">
        <v>688</v>
      </c>
      <c r="B689" t="str" s="3">
        <f>HYPERLINK("https://www.getinge.com/int/services/hospital-transformational-partnerships/","/services/hospital-transformational-partnerships/")</f>
        <v>/services/hospital-transformational-partnerships/</v>
      </c>
      <c r="C689" t="inlineStr" s="2">
        <is>
          <t xml:space="preserve">Our consultants collaborate with your hospital’s management and staff to streamline workflows, boost efficiency and increase patient and staff satisfaction.</t>
        </is>
      </c>
      <c r="D689" s="2"/>
      <c r="F689" s="4"/>
      <c r="G689" t="inlineStr" s="2">
        <is>
          <t xml:space="preserve">Als weltweit führender Hersteller von Krankenhausausrüstung, medizinischen Geräten und IT-Lösungen für Krankenhäuser können wir Ihnen helfen, die Effizienz im Gesundheitswesen zu verbessern. Unsere Berater/-innen arbeiten mit dem Management und dem Personal Ihres Krankenhauses zusammen, um Arbeitsabläufe zu optimieren, die Effizienz zu steigern und die Zufriedenheit von Patient/-innen und Mitarbeitenden zu erhöhen. Abgestimmt auf Ihre Krankenhausstrategie und Ihre KPIs präsentieren wir Lösungen zur Verbesserung der patientenbezogenen Ergebnisse und zur Senkung Ihrer Betriebskosten.</t>
        </is>
      </c>
      <c r="H689" s="2"/>
      <c r="I689" s="2"/>
      <c r="J689" s="4"/>
      <c r="K689" s="2"/>
      <c r="L689" t="str" s="3">
        <f>HYPERLINK("https://www.getinge.com/de/services/strategische-zusammenarbeit/","/services/strategische-zusammenarbeit/")</f>
        <v>/services/strategische-zusammenarbeit/</v>
      </c>
    </row>
    <row r="690">
      <c r="A690" s="0">
        <v>689</v>
      </c>
      <c r="B690" t="str" s="3">
        <f>HYPERLINK("https://www.getinge.com/int/services/hospital-transformational-partnerships/","/services/hospital-transformational-partnerships/")</f>
        <v>/services/hospital-transformational-partnerships/</v>
      </c>
      <c r="C690" t="inlineStr" s="2">
        <is>
          <t xml:space="preserve">Aligned with your hospital strategy we will craft personalized recommendations to improve your operations efficiency, increase clinical excellence, find alternative business models and implement sustainability actions all measured and follow up to meet your goal.</t>
        </is>
      </c>
      <c r="D690" s="2"/>
      <c r="F690" s="4"/>
      <c r="G690" t="inlineStr" s="2">
        <is>
          <t xml:space="preserve">Als weltweit führender Hersteller von Krankenhausausrüstung, medizinischen Geräten und IT-Lösungen für Krankenhäuser können wir Ihnen helfen, die Effizienz im Gesundheitswesen zu verbessern. Unsere Berater/-innen arbeiten mit dem Management und dem Personal Ihres Krankenhauses zusammen, um Arbeitsabläufe zu optimieren, die Effizienz zu steigern und die Zufriedenheit von Patient/-innen und Mitarbeitenden zu erhöhen. Abgestimmt auf Ihre Krankenhausstrategie und Ihre KPIs präsentieren wir Lösungen zur Verbesserung der patientenbezogenen Ergebnisse und zur Senkung Ihrer Betriebskosten.</t>
        </is>
      </c>
      <c r="H690" s="2"/>
      <c r="I690" s="2"/>
      <c r="J690" s="4"/>
      <c r="K690" s="2"/>
      <c r="L690" t="str" s="3">
        <f>HYPERLINK("https://www.getinge.com/de/services/strategische-zusammenarbeit/","/services/strategische-zusammenarbeit/")</f>
        <v>/services/strategische-zusammenarbeit/</v>
      </c>
    </row>
    <row r="691">
      <c r="A691" s="0">
        <v>690</v>
      </c>
      <c r="B691" t="str" s="3">
        <f>HYPERLINK("https://www.getinge.com/int/services/mygetinge-customer-portal/","/services/mygetinge-customer-portal/")</f>
        <v>/services/mygetinge-customer-portal/</v>
      </c>
      <c r="C691" t="inlineStr" s="2">
        <is>
          <t xml:space="preserve">Unlock all features, tools, and resources in myGetinge. The Customer Portal is currently available in selected markets. Register your interest and we’ll keep you informed about availability in your region.</t>
        </is>
      </c>
      <c r="D691" t="inlineStr" s="2">
        <is>
          <t xml:space="preserve">myGetinge bietet Ihnen einen zentralen Zugang zu digitalen Services, hilfreichen Tools und wichtigen Informationen. Das Kundenportal wird schrittweise in weiteren Märkten eingeführt.</t>
        </is>
      </c>
      <c r="E691" t="inlineStr" s="0">
        <is>
          <t xml:space="preserve">Medium</t>
        </is>
      </c>
      <c r="F691" s="4"/>
      <c r="G691" t="inlineStr" s="2">
        <is>
          <t xml:space="preserve">Hinterlassen Sie Ihre Kontaktdaten, und wir benachrichtigen Sie, sobald myGetinge in Ihrer Region verfügbar ist.</t>
        </is>
      </c>
      <c r="H691" s="2"/>
      <c r="I691" s="2"/>
      <c r="J691" s="4"/>
      <c r="K691" s="2"/>
      <c r="L691" t="str" s="3">
        <f>HYPERLINK("https://www.getinge.com/de/services/mygetinge-customer-portal/","/services/mygetinge-customer-portal/")</f>
        <v>/services/mygetinge-customer-portal/</v>
      </c>
    </row>
    <row r="692">
      <c r="A692" s="0">
        <v>691</v>
      </c>
      <c r="B692" t="str" s="3">
        <f>HYPERLINK("https://www.getinge.com/int/services/technical-services/","/services/technical-services/")</f>
        <v>/services/technical-services/</v>
      </c>
      <c r="C692" t="inlineStr" s="2">
        <is>
          <t xml:space="preserve">Getinge Service agreements are offered as an additional option for you to ensure our equipment performs according to your specifications beyond its warranty expiration date. A variety of options are available for you according to your needs and requirements.</t>
        </is>
      </c>
      <c r="D692" s="2"/>
      <c r="F692" s="4"/>
      <c r="G692" t="inlineStr" s="2">
        <is>
          <t xml:space="preserve">Getinge Serviceverträge sind eine zusätzliche Option, um sicherzustellen, dass Ihre Geräte auch über die Gewährleistungszeit hinaus zuverlässig funktionieren – genau nach Ihren Anforderungen.</t>
        </is>
      </c>
      <c r="H692" s="2"/>
      <c r="I692" s="2"/>
      <c r="J692" s="4"/>
      <c r="K692" s="2"/>
      <c r="L692" t="str" s="3">
        <f>HYPERLINK("https://www.getinge.com/de/services/technischer-service/","/services/technischer-service/")</f>
        <v>/services/technischer-service/</v>
      </c>
    </row>
  </sheetData>
  <autoFilter ref="A1:L692"/>
  <dataValidations count="1">
    <dataValidation type="list" allowBlank="1" showErrorMessage="1" errorTitle="Decision" error="Choose a value from the list." sqref="F2:F692">
      <formula1>"Accept suggestion,Alternative 1,Alternative 2,Alternative 3,Use my German,No match"</formula1>
    </dataValidation>
  </dataValidations>
</worksheet>
</file>

<file path=xl/worksheets/sheet2.xml><?xml version="1.0" encoding="utf-8"?>
<worksheet xmlns="http://schemas.openxmlformats.org/spreadsheetml/2006/main">
  <cols>
    <col min="1" max="1" width="140" customWidth="1"/>
  </cols>
  <sheetData>
    <row r="1">
      <c r="A1" t="inlineStr" s="1">
        <is>
          <t xml:space="preserve">How to review</t>
        </is>
      </c>
    </row>
    <row r="2"/>
    <row r="3">
      <c r="A3" t="inlineStr" s="0">
        <is>
          <t xml:space="preserve">Each row is an English text from a page where the German version has a different layout, so it could not be paired automatically.</t>
        </is>
      </c>
    </row>
    <row r="4">
      <c r="A4" t="inlineStr" s="0">
        <is>
          <t xml:space="preserve">"Suggested German" is the best match found in the same part of the German page; "Match" says how sure the tool is.</t>
        </is>
      </c>
    </row>
    <row r="5">
      <c r="A5" t="inlineStr" s="0">
        <is>
          <t xml:space="preserve">Open the page links to compare with the live pages when in doubt.</t>
        </is>
      </c>
    </row>
    <row r="6"/>
    <row r="7">
      <c r="A7" t="inlineStr" s="0">
        <is>
          <t xml:space="preserve">In the Decision column choose:</t>
        </is>
      </c>
    </row>
    <row r="8">
      <c r="A8" t="inlineStr" s="0">
        <is>
          <t xml:space="preserve">  Accept suggestion – the suggested German is the translation of the English text</t>
        </is>
      </c>
    </row>
    <row r="9">
      <c r="A9" t="inlineStr" s="0">
        <is>
          <t xml:space="preserve">  Alternative 1 / 2 / 3 – one of the alternatives is the right German text</t>
        </is>
      </c>
    </row>
    <row r="10">
      <c r="A10" t="inlineStr" s="0">
        <is>
          <t xml:space="preserve">  Use my German – write or paste the correct German in "Your German"</t>
        </is>
      </c>
    </row>
    <row r="11">
      <c r="A11" t="inlineStr" s="0">
        <is>
          <t xml:space="preserve">  No match – there is no German translation of this text on the page</t>
        </is>
      </c>
    </row>
    <row r="12">
      <c r="A12" t="inlineStr" s="0">
        <is>
          <t xml:space="preserve">Leave Decision empty for rows you have not reviewed yet; they will be asked again next time.</t>
        </is>
      </c>
    </row>
    <row r="13"/>
    <row r="14">
      <c r="A14" t="inlineStr" s="0">
        <is>
          <t xml:space="preserve">Free adaptations are fine – the German pages are approved. Only check that the two texts say the same thing.</t>
        </is>
      </c>
    </row>
    <row r="15">
      <c r="A15" t="inlineStr" s="0">
        <is>
          <t xml:space="preserve">When done, save the file (keep the .xlsx format) and upload it to the "review" folder of the repository.</t>
        </is>
      </c>
    </row>
    <row r="16">
      <c r="A16" t="inlineStr" s="0">
        <is>
          <t xml:space="preserve">The next run adds every approved pair to the translation memory and does not ask about decided rows again.</t>
        </is>
      </c>
    </row>
    <row r="17">
      <c r="A17" t="inlineStr" s="0">
        <is>
          <t xml:space="preserve">"Check" shows why an automatic check would have rejected the suggestion (e.g. differing numbers) – it is a hint, not a verdict.</t>
        </is>
      </c>
    </row>
  </sheetData>
</worksheet>
</file>

<file path=docProps/app.xml><?xml version="1.0" encoding="utf-8"?>
<Properties xmlns="http://schemas.openxmlformats.org/officeDocument/2006/extended-properties">
  <Application>site-tmx-aligner</Application>
</Properties>
</file>

<file path=docProps/core.xml><?xml version="1.0" encoding="utf-8"?>
<cp:coreProperties xmlns:cp="http://schemas.openxmlformats.org/package/2006/metadata/core-properties" xmlns:dc="http://purl.org/dc/elements/1.1/" xmlns:dcterms="http://purl.org/dc/terms/" xmlns:xsi="http://www.w3.org/2001/XMLSchema-instance">
  <dc:title>TMX review en-de</dc:title>
  <dc:creator>site-tmx-aligner</dc:creator>
  <dcterms:created xsi:type="dcterms:W3CDTF">2026-10-23T20:30:54Z</dcterms:created>
</cp:coreProperties>
</file>