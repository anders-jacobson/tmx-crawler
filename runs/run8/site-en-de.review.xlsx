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bookViews>
    <workbookView/>
  </bookViews>
  <sheets>
    <sheet name="Review" sheetId="1" r:id="rId1"/>
    <sheet name="How to review" sheetId="2" r:id="rId2"/>
  </sheets>
  <definedNames>
    <definedName name="_xlnm._FilterDatabase" localSheetId="0" hidden="1">Review!$A$1:$L$23</definedName>
  </definedNames>
</workbook>
</file>

<file path=xl/styles.xml><?xml version="1.0" encoding="utf-8"?>
<styleSheet xmlns="http://schemas.openxmlformats.org/spreadsheetml/2006/main">
  <fonts count="3">
    <font>
      <sz val="11"/>
      <name val="Calibri"/>
      <family val="2"/>
    </font>
    <font>
      <b/>
      <sz val="11"/>
      <name val="Calibri"/>
      <family val="2"/>
    </font>
    <font>
      <u/>
      <sz val="11"/>
      <color rgb="FF0563C1"/>
      <name val="Calibri"/>
      <family val="2"/>
    </font>
  </fonts>
  <fills count="4">
    <fill>
      <patternFill patternType="none"/>
    </fill>
    <fill>
      <patternFill patternType="gray125"/>
    </fill>
    <fill>
      <patternFill patternType="solid">
        <fgColor rgb="FFDDEBF7"/>
        <bgColor indexed="64"/>
      </patternFill>
    </fill>
    <fill>
      <patternFill patternType="solid">
        <fgColor rgb="FFFFF2CC"/>
        <bgColor indexed="64"/>
      </patternFill>
    </fill>
  </fills>
  <borders count="1">
    <border>
      <left/>
      <right/>
      <top/>
      <bottom/>
      <diagonal/>
    </border>
  </borders>
  <cellStyleXfs count="1">
    <xf numFmtId="0" fontId="0" fillId="0" borderId="0"/>
  </cellStyleXfs>
  <cellXfs count="5">
    <xf numFmtId="0" fontId="0" fillId="0" borderId="0" xfId="0" applyAlignment="1">
      <alignment vertical="top"/>
    </xf>
    <xf numFmtId="0" fontId="1" fillId="2" borderId="0" xfId="0" applyFont="1" applyFill="1" applyAlignment="1">
      <alignment vertical="top" wrapText="1"/>
    </xf>
    <xf numFmtId="0" fontId="0" fillId="0" borderId="0" xfId="0" applyAlignment="1">
      <alignment vertical="top" wrapText="1"/>
    </xf>
    <xf numFmtId="0" fontId="2" fillId="0" borderId="0" xfId="0" applyFont="1" applyAlignment="1">
      <alignment vertical="top"/>
    </xf>
    <xf numFmtId="0" fontId="0" fillId="3" borderId="0" xfId="0" applyFill="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sheetFormatPr defaultRowHeight="15"/>
  <cols>
    <col min="1" max="1" width="6" customWidth="1"/>
    <col min="2" max="2" width="28" customWidth="1"/>
    <col min="3" max="3" width="55" customWidth="1"/>
    <col min="4" max="4" width="55" customWidth="1"/>
    <col min="5" max="5" width="9" customWidth="1"/>
    <col min="6" max="6" width="20" customWidth="1"/>
    <col min="7" max="7" width="45" customWidth="1"/>
    <col min="8" max="8" width="45" customWidth="1"/>
    <col min="9" max="9" width="45" customWidth="1"/>
    <col min="10" max="10" width="45" customWidth="1"/>
    <col min="11" max="11" width="30" customWidth="1"/>
    <col min="12" max="12" width="28" customWidth="1"/>
  </cols>
  <sheetData>
    <row r="1">
      <c r="A1" t="inlineStr" s="1">
        <is>
          <t xml:space="preserve">No.</t>
        </is>
      </c>
      <c r="B1" t="inlineStr" s="1">
        <is>
          <t xml:space="preserve">Page</t>
        </is>
      </c>
      <c r="C1" t="inlineStr" s="1">
        <is>
          <t xml:space="preserve">English</t>
        </is>
      </c>
      <c r="D1" t="inlineStr" s="1">
        <is>
          <t xml:space="preserve">Suggested German</t>
        </is>
      </c>
      <c r="E1" t="inlineStr" s="1">
        <is>
          <t xml:space="preserve">Match</t>
        </is>
      </c>
      <c r="F1" t="inlineStr" s="1">
        <is>
          <t xml:space="preserve">Decision</t>
        </is>
      </c>
      <c r="G1" t="inlineStr" s="1">
        <is>
          <t xml:space="preserve">Alternative 1</t>
        </is>
      </c>
      <c r="H1" t="inlineStr" s="1">
        <is>
          <t xml:space="preserve">Alternative 2</t>
        </is>
      </c>
      <c r="I1" t="inlineStr" s="1">
        <is>
          <t xml:space="preserve">Alternative 3</t>
        </is>
      </c>
      <c r="J1" t="inlineStr" s="1">
        <is>
          <t xml:space="preserve">Your German</t>
        </is>
      </c>
      <c r="K1" t="inlineStr" s="1">
        <is>
          <t xml:space="preserve">Check</t>
        </is>
      </c>
      <c r="L1" t="inlineStr" s="1">
        <is>
          <t xml:space="preserve">German page</t>
        </is>
      </c>
    </row>
    <row r="2">
      <c r="A2" s="0">
        <v>1</v>
      </c>
      <c r="B2" t="str" s="3">
        <f>HYPERLINK("https://www.getinge.com/int/insights/articles/digital-health/icu-capacity/","/insights/articles/digital-health/icu-capacity/")</f>
        <v>/insights/articles/digital-health/icu-capacity/</v>
      </c>
      <c r="C2" t="inlineStr" s="2">
        <is>
          <t xml:space="preserve">Accounting for downstream capacity alongside theatre resources could support more informed surgical planning, rather than treating bed availability as something to resolve after the list is set. The prediction model supplies the signal. The scheduling logic makes the conflict visible. The case manager makes the call[1]. The principle throughout is that the system brings a previously missing variable into the planning flow, and leaves the decision with the people responsible for the schedule.</t>
        </is>
      </c>
      <c r="D2" t="inlineStr" s="2">
        <is>
          <t xml:space="preserve">Für das Planungsteam verändert sich dadurch die Vorbereitung des OP-Tages. Statt sich auf fachgebietsspezifische Durchschnittswerte zu verlassen und darauf zu hoffen, dass die nachgelagerten Kapazitäten ausreichen, sieht das Fallmanagement die individuelle Wahrscheinlichkeit einer Intensivaufnahme zusammen mit der prognostizierten Belegung der Intensivstation für den jeweiligen Tag [1]. Eskalationen werden damit wieder zu tatsächlichen Ausnahmefällen, statt zum täglichen Normalfall zu gehören.</t>
        </is>
      </c>
      <c r="E2" t="inlineStr" s="0">
        <is>
          <t xml:space="preserve">Medium</t>
        </is>
      </c>
      <c r="F2" s="4"/>
      <c r="G2" t="inlineStr" s="2">
        <is>
          <t xml:space="preserve">Das Prognosemodell liefert die Risikoeinschätzung. Die Planungslogik macht mögliche Konflikte sichtbar. Das Fallmanagement trifft die Entscheidung [1]. Das Grundprinzip ist dabei stets dasselbe: Das System ergänzt die Planung um einen bislang fehlenden Faktor, während die Entscheidung bei den Menschen bleibt, die für den OP-Plan verantwortlich sind.</t>
        </is>
      </c>
      <c r="H2" t="inlineStr" s="2">
        <is>
          <t xml:space="preserve">Eine Prognose ist nur so nützlich wie die Entscheidung, in die sie einfließt. Damit der postoperative Versorgungsbedarf tatsächlich zu einer Planungsgröße wird, müssen die Kapazitäten auf Intensiv-, Intermediate-Care- und Normalstationen gemeinsam mit den verfügbaren OP-Zeiten berücksichtigt werden. Sie dürfen nicht als separates Thema behandelt werden, das erst nach der OP-Planung geklärt wird, sondern müssen bereits bei der Zusammenstellung des OP-Programms einfließen [2].</t>
        </is>
      </c>
      <c r="I2" t="inlineStr" s="2">
        <is>
          <t xml:space="preserve">Auch für den Patientenfluss ergeben sich Veränderungen: Wenn der voraussichtliche intensivmedizinische Versorgungsbedarf bereits bei der OP-Anmeldung berücksichtigt wird, dient der Aufwachraum nicht länger als inoffizieller Wartebereich für Patienten, für die noch kein Intensivbett verfügbar ist [1]. Durch die frühzeitigere Berücksichtigung des intensivmedizinischen Versorgungsbedarfs könnten Krankenhäuser zudem besser in der Lage sein, kurzfristige Störungen zu vermeiden. Dazu gehören auch einige der Absagen am Operationstag, die auf fehlende Intensivbetten zurückzuführen sind und in der Studie 21,7 % aller Absagen ausmachten [2].</t>
        </is>
      </c>
      <c r="J2" s="4"/>
      <c r="K2" s="2"/>
      <c r="L2" t="str" s="3">
        <f>HYPERLINK("https://www.getinge.com/de/news-und-events/klinische-einblicke/digitalisierung-im-gesundheitswesen/intensivkapazitaeten/","/news-und-events/klinische-einblicke/digitalisierung-im-gesundheitswesen/intensivkapazitaeten/")</f>
        <v>/news-und-events/klinische-einblicke/digitalisierung-im-gesundheitswesen/intensivkapazitaeten/</v>
      </c>
    </row>
    <row r="3">
      <c r="A3" s="0">
        <v>2</v>
      </c>
      <c r="B3" t="str" s="3">
        <f>HYPERLINK("https://www.getinge.com/int/insights/articles/operating-room/connected-medical-devices-improve-uptime-in-the-or/","/insights/articles/operating-room/connected-medical-devices-improve-uptime-in-the-or/")</f>
        <v>/insights/articles/operating-room/connected-medical-devices-improve-uptime-in-the-or/</v>
      </c>
      <c r="C3" t="inlineStr" s="2">
        <is>
          <t xml:space="preserve">FleetView is a digital service that securely transfers Getinge equipment data to a customer web portal. Users log in to FleetView where a role-based dashboard lets you view and analyze the device data. Dashboards are available for different roles. For Biomeds and Critical care Scientists the dashboard provides equipment information that supports proactive maintenance and quick troubleshooting. For clinicians, the dashboard provides information about clinical use, including the identification of trends and consumption of anesthetic agent.</t>
        </is>
      </c>
      <c r="D3" t="inlineStr" s="2">
        <is>
          <t xml:space="preserve">Getinge Online ist ein digitaler Dienst, der eine sichere Datenübertragung von den Getinge-Geräten auf ein Kunden-Webportal bietet. Die Benutzerinnen und Benutzer melden sich bei Getinge Online an, wo auf einem rollenbasierten Dashboard die Gerätedaten angezeigt und Analysen bereitgestellt werden. Die Dashboards sind für verschiedene Rollen verfügbar. Für Biomediziner/innen und Forscher/innen im Bereich Intensivpflege hält das Dashboard Geräteinformationen bereit, die eine proaktive Wartung und eine rasche Fehlerbehebung erleichtern. Ärztinnen und Ärzten bietet das Dashboard Informationen über den klinischen Einsatz, unter anderem zur Identifizierung von Trends und zum Verbrauch von Narkosegas.</t>
        </is>
      </c>
      <c r="E3" t="inlineStr" s="0">
        <is>
          <t xml:space="preserve">Medium</t>
        </is>
      </c>
      <c r="F3" s="4"/>
      <c r="G3" s="2"/>
      <c r="H3" s="2"/>
      <c r="I3" s="2"/>
      <c r="J3" s="4"/>
      <c r="K3" t="inlineStr" s="2">
        <is>
          <t xml:space="preserve">protected-token-mismatch: missing in target: FleetView</t>
        </is>
      </c>
      <c r="L3" t="str" s="3">
        <f>HYPERLINK("https://www.getinge.com/de/news-und-events/klinische-einblicke/operationssaal/digital-vernetzte-medizinische-geraete-verbessern-die-auslastung-des-operationssaals/","/news-und-events/klinische-einblicke/operationssaal/digital-vernetzte-medizinische-geraete-verbessern-die-auslastung-des-operationssaals/")</f>
        <v>/news-und-events/klinische-einblicke/operationssaal/digital-vernetzte-medizinische-geraete-verbessern-die-auslastung-des-operationssaals/</v>
      </c>
    </row>
    <row r="4">
      <c r="A4" s="0">
        <v>3</v>
      </c>
      <c r="B4" t="str" s="3">
        <f>HYPERLINK("https://www.getinge.com/int/insights/updates/healthcare/gentler-ventilation-strategies-for-newborns/","/insights/updates/healthcare/gentler-ventilation-strategies-for-newborns/")</f>
        <v>/insights/updates/healthcare/gentler-ventilation-strategies-for-newborns/</v>
      </c>
      <c r="C4" t="inlineStr" s="2">
        <is>
          <t xml:space="preserve">Shortened ventilation time[5],[8] and ICU stay[7],[9]</t>
        </is>
      </c>
      <c r="D4" s="2"/>
      <c r="F4" s="4"/>
      <c r="G4" t="inlineStr" s="2">
        <is>
          <t xml:space="preserve">Protektive Tidalvolumina und inspiratorische Drücke 3</t>
        </is>
      </c>
      <c r="H4" t="inlineStr" s="2">
        <is>
          <t xml:space="preserve">Verkürzte Beatmungsdauer 5,8 und ITS-Aufenthalt 7,9</t>
        </is>
      </c>
      <c r="I4" t="inlineStr" s="2">
        <is>
          <t xml:space="preserve">Die Vorteile neurologisch angepasster Beatmung</t>
        </is>
      </c>
      <c r="J4" s="4"/>
      <c r="K4" s="2"/>
      <c r="L4" t="str" s="3">
        <f>HYPERLINK("https://www.getinge.com/de/news-und-events/neuigkeiten/gesundheitswesen/Schonendere-Beatmungsstrategien-fuer-Neugeborene/","/news-und-events/neuigkeiten/gesundheitswesen/Schonendere-Beatmungsstrategien-fuer-Neugeborene/")</f>
        <v>/news-und-events/neuigkeiten/gesundheitswesen/Schonendere-Beatmungsstrategien-fuer-Neugeborene/</v>
      </c>
    </row>
    <row r="5">
      <c r="A5" s="0">
        <v>4</v>
      </c>
      <c r="B5" t="str" s="3">
        <f>HYPERLINK("https://www.getinge.com/int/insights/updates/healthcare/low-temperature-sterilization-when-heat-is-not-an-option/","/insights/updates/healthcare/low-temperature-sterilization-when-heat-is-not-an-option/")</f>
        <v>/insights/updates/healthcare/low-temperature-sterilization-when-heat-is-not-an-option/</v>
      </c>
      <c r="C5" t="inlineStr" s="2">
        <is>
          <t xml:space="preserve">EtO has been the most common low-temperature sterilant in U.S. healthcare facilities since the 1950s [2] and has a long history. It eliminates microorganisms by changing the protein molecules in microbial cells [1]. EtO is subject to intensive oversight by OSHA and the EPA due to environmental and occupational safety concerns [6],[7], and the FDA is encouraging transitions to alternative sterilization methods [11].</t>
        </is>
      </c>
      <c r="D5" s="2"/>
      <c r="F5" s="4"/>
      <c r="G5" t="inlineStr" s="2">
        <is>
          <t xml:space="preserve">Wenn Sie für die Aufbereitung empfindlicher, hitzeempfindlicher Medizinprodukte verantwortlich sind, stellt die Niedertemperatur-Sterilisation keine einzelne Lösung dar. Keine Methode ist zu 100 % optimal, jede hat spezifische Vor- und Nachteile [2]. Die Auswahl hängt von Gerätetyp, Materialverträglichkeit, Lumengeometrie, Durchsatzanforderungen, Arbeitssicherheit, Emissionsvorschriften und wirtschaftlichen Rahmenbedingungen ab.</t>
        </is>
      </c>
      <c r="H5" t="inlineStr" s="2">
        <is>
          <t xml:space="preserve">Das System Getinge Poladus 150 wurde kürzlich als VH2O2-NTS-System eingeführt, das bei Temperaturen bis zu 55 °C arbeitet und darauf ausgelegt ist, kurze Zykluszeiten und einen höheren Durchsatz in der Sterilgutaufbereitung zu unterstützen. Sein Prozessdesign sowie die Integration in digitale Workflows und Rückverfolgbarkeitssysteme spiegeln aktuelle Entwicklungen in der NTS wider, die auf höhere Effizienz, strengere Prozesskontrolle und eine stärkere Ausrichtung an regulatorischen Anforderungen abzielen.</t>
        </is>
      </c>
      <c r="I5" t="inlineStr" s="2">
        <is>
          <t xml:space="preserve">NTS arbeitet bei deutlich niedrigeren Temperaturen als die Dampfsterilisation (121–134 °C), typischerweise zwischen 37 °C und 60 °C. Dabei kommen chemische Sterilisationsmittel in gasförmiger oder flüssiger Form zum Einsatz, während die Temperatur des Medizinprodukts unter etwa 60 °C bleibt und gleichzeitig ein Sterilitätssicherheitsniveau (SAL) von 10⁻⁶ erreicht wird [2].</t>
        </is>
      </c>
      <c r="J5" s="4"/>
      <c r="K5" s="2"/>
      <c r="L5" t="str" s="3">
        <f>HYPERLINK("https://www.getinge.com/de/news-und-events/neuigkeiten/gesundheitswesen/niedertemperatur-sterilisation-wenn-hitze-keine-option-ist/","/news-und-events/neuigkeiten/gesundheitswesen/niedertemperatur-sterilisation-wenn-hitze-keine-option-ist/")</f>
        <v>/news-und-events/neuigkeiten/gesundheitswesen/niedertemperatur-sterilisation-wenn-hitze-keine-option-ist/</v>
      </c>
    </row>
    <row r="6">
      <c r="A6" s="0">
        <v>5</v>
      </c>
      <c r="B6" t="str" s="3">
        <f>HYPERLINK("https://www.getinge.com/int/insights/updates/healthcare/nava--the-silent-revolution-in-intensive-care-ventilation/","/insights/updates/healthcare/nava--the-silent-revolution-in-intensive-care-ventilation/")</f>
        <v>/insights/updates/healthcare/nava--the-silent-revolution-in-intensive-care-ventilation/</v>
      </c>
      <c r="C6" t="inlineStr" s="2">
        <is>
          <t xml:space="preserve">For example, the independent multicenter NAVIATOR trial confirmed that NAVA significantly increases ventilator-free days compared to conventional ventilation. In adult patients with acute respiratory failure, the use of NAVA reduced the duration of mechanical ventilation from 12 to 8 days—a reduction of about 35 % [9].</t>
        </is>
      </c>
      <c r="D6" s="2"/>
      <c r="F6" s="4"/>
      <c r="G6" t="inlineStr" s="2">
        <is>
          <t xml:space="preserve">Kein Atemzug ist gleich. Tiefe und flache sowie lange und kurze Atemzüge, größere und kleinere Volumen. Das ist die Art, wie wir natürlich atmen. Die konventionelle Intensivbeatmung kann dem nicht gerecht werden. Mit der von Getinge entwickelten wegweisenden Beatmungsmethode NAVA können Patienten die Beatmung neuronal selbst steuern und so atmen, wie es für sie richtig ist.</t>
        </is>
      </c>
      <c r="H6" t="inlineStr" s="2">
        <is>
          <t xml:space="preserve">In der multizentrischen, randomisierten, kontrollierten NAVIATOR-Studie konnte durch den Einsatz von NAVA die Dauer der mechanischen Beatmung bei erwachsenen Patienten von 12 auf 8 Tage, also um 4 Tage bzw. 35 % signifikant verkürzt werden. Darüber sind die Vorteile von NAVA sowie NIV-NAVA im Vergleich zu konventionellen Verfahren in zahlreichen Publikationen belegt. Dazu gehören beispielsweise verbesserte Synchronität, reduzierte Atemarbeit WOB, besserer Gasaustausch, weniger Sedierung oder erhöhter Komfort.</t>
        </is>
      </c>
      <c r="I6" t="inlineStr" s="2">
        <is>
          <t xml:space="preserve">NAVA ist also ein Beatmungsmodus, bei dem das Timing und die Menge der Beatmungsunterstützung neuronal durch den Patienten gesteuert wird. Nicht das Beatmungsgerät, sondern der Patient selbst reguliert die Beatmung: Einleitung des Atemzugs, Volumen und Länge, Atemfrequenz, Spitzendruck und Beendigung. Das Resultat ist eine perfekte Synchronität zwischen Beatmungsgerät und Patient, sowohl bei invasiver als auch bei nicht-invasiver Beatmung mit Nasenmasken oder Nasenbrillen (NIV-NAVA).</t>
        </is>
      </c>
      <c r="J6" s="4"/>
      <c r="K6" s="2"/>
      <c r="L6" t="str" s="3">
        <f>HYPERLINK("https://www.getinge.com/de/news-und-events/neuigkeiten/gesundheitswesen/nava-die-stille-revolution-in-der-intensivbeatmung/","/news-und-events/neuigkeiten/gesundheitswesen/nava-die-stille-revolution-in-der-intensivbeatmung/")</f>
        <v>/news-und-events/neuigkeiten/gesundheitswesen/nava-die-stille-revolution-in-der-intensivbeatmung/</v>
      </c>
    </row>
    <row r="7">
      <c r="A7" s="0">
        <v>6</v>
      </c>
      <c r="B7" t="str" s="3">
        <f>HYPERLINK("https://www.getinge.com/int/insights/updates/healthcare/optimizing-equipment-uptime/","/insights/updates/healthcare/optimizing-equipment-uptime/")</f>
        <v>/insights/updates/healthcare/optimizing-equipment-uptime/</v>
      </c>
      <c r="C7" t="inlineStr" s="2">
        <is>
          <t xml:space="preserve">Expert insight from Duane Hawkins: An essential requirement from service providers is ensuring that full support is available, aligned with the Original Equipment Manufacturers’ specifications. This includes planned preventative maintenance and repairs performed according to official service and repair manuals, and the appropriate documentation and tooling is used throughout the process. Additionally, ensuring service technicians are appropriately trained on the device, with regular re-certification and assessment to maintain competence and compliance.</t>
        </is>
      </c>
      <c r="D7" s="2"/>
      <c r="F7" s="4"/>
      <c r="G7" t="inlineStr" s="2">
        <is>
          <t xml:space="preserve">Die Zeitspanne, in der ein Gerät aufgrund einer Reparatur nicht genutzt werden kann, hat direkten Einfluss auf dessen Gesamtverfügbarkeit. Die Reparaturdauer wird von verschiedenen Faktoren beeinflusst, darunter die Schwere des gemeldeten Problems, die Verfügbarkeit von Ersatzteilen und die Effizienz der Lieferkette, logistische Prozesse sowie die Erreichbarkeit und Expertise der Servicetechniker, die die Reparatur durchführen.</t>
        </is>
      </c>
      <c r="H7" t="inlineStr" s="2">
        <is>
          <t xml:space="preserve">„Die Einführung einer proaktiven Wartungsstrategie ist eine der wirksamsten Maßnahmen, um dieser Herausforderung zu begegnen. Ein Servicevertrag sollte einen strukturierten Plan für die vorbeugende Wartung beinhalten. Dadurch wird sichergestellt, dass das Gerät ordnungsgemäß gewartet wird und potenzielle Probleme frühzeitig erkannt und behoben werden können – noch bevor es zu einem Ausfall kommt und eine Reparatur erforderlich wird.</t>
        </is>
      </c>
      <c r="I7" t="inlineStr" s="2">
        <is>
          <t xml:space="preserve">„Wie bereits erwähnt, trägt eine proaktive Wartungsstrategie dazu bei, das Risiko von Reparaturen oder Ausfällen zu reduzieren – sowohl hinsichtlich ihrer Häufigkeit als auch ihrer Schwere. Darüber hinaus profitieren Krankenhäuser von der Zusammenarbeit mit dem Originalgerätehersteller (OEM) als Servicepartner, da dieser über umfassende Kenntnisse der Geräte und ihrer vorgesehenen Anwendung verfügt.</t>
        </is>
      </c>
      <c r="J7" s="4"/>
      <c r="K7" s="2"/>
      <c r="L7" t="str" s="3">
        <f>HYPERLINK("https://www.getinge.com/de/news-und-events/neuigkeiten/gesundheitswesen/geraeteverfuegbarkeit-optimieren/","/news-und-events/neuigkeiten/gesundheitswesen/geraeteverfuegbarkeit-optimieren/")</f>
        <v>/news-und-events/neuigkeiten/gesundheitswesen/geraeteverfuegbarkeit-optimieren/</v>
      </c>
    </row>
    <row r="8">
      <c r="A8" s="0">
        <v>7</v>
      </c>
      <c r="B8" t="str" s="3">
        <f>HYPERLINK("https://www.getinge.com/int/insights/updates/healthcare/technological-innovation-modular-ventilators-in-intensive-care/","/insights/updates/healthcare/technological-innovation-modular-ventilators-in-intensive-care/")</f>
        <v>/insights/updates/healthcare/technological-innovation-modular-ventilators-in-intensive-care/</v>
      </c>
      <c r="C8" t="inlineStr" s="2">
        <is>
          <t xml:space="preserve">Available modules include the Edi module for NAVA and the CO2 analyzer module for mainstream CO2 monitoring. Additional options include the Y sensor module that enables High Frequency Oscillation (HFO) for neonatal care and Transpulmonary pressure monitoring for Adult and pediatric patients. For situations requiring extended battery operation, additional battery modules can be added.</t>
        </is>
      </c>
      <c r="D8" t="inlineStr" s="2">
        <is>
          <t xml:space="preserve">Zu den verfügbaren Modulen gehören die Y-Sensormodule für die transpulmonale Druckmessung und das Edi-Modul für NAVA, eine Funktion, die im Markt einzigartig ist. Zudem sind Module für die Hauptstrom-CO2-Messung oder ein Modul für die Hochfrequenz-Oszillation für Frühgeborene erhältlich. Für Situationen, in denen eine erweiterte Batterielebensdauer erforderlich ist, können Module zur Verdreifachung der Batteriekapazität hinzugefügt werden.</t>
        </is>
      </c>
      <c r="E8" t="inlineStr" s="0">
        <is>
          <t xml:space="preserve">Medium</t>
        </is>
      </c>
      <c r="F8" s="4"/>
      <c r="G8" t="inlineStr" s="2">
        <is>
          <t xml:space="preserve">Die Balance zwischen fortschrittlicher Patientenversorgung und Budgetbeschränkungen ist eine konstante Herausforderung in der Intensivmedizin. Muss jedes Beatmungsgerät wirklich alle spezialisierten Funktionen bieten, oder gibt es einen effizienteren Ansatz? Getinge stellt mit den modularen Servo Beatmungsgeräten ein innovatives Konzept bereit, das maßgeschneiderte, bedarfsgerechte Lösungen ermöglicht, ohne unnötige Kosten für spezialisierte Geräte zu verursachen.</t>
        </is>
      </c>
      <c r="H8" t="inlineStr" s="2">
        <is>
          <t xml:space="preserve">Investitionskosten in neue Geräte senken: Mit der Möglichkeit, Module im laufenden Betrieb zu wechseln, benötigen Intensivstationen weniger spezialisierte Beatmungsgeräte. Dies führt direkt zu reduzierten Ausgaben, da die Anschaffung mehrerer, hochspezialisierter Geräte vermieden wird. Die Module können flexibel und je nach Bedarf ausgetauscht werden, was nicht nur kosteneffizient, sondern auch praktisch ist.</t>
        </is>
      </c>
      <c r="I8" t="inlineStr" s="2">
        <is>
          <t xml:space="preserve">Abläufe auf Station optimieren: Die Mobilität und Flexibilität der Module eliminieren den Bedarf, ganze Geräte zwischen den Stationen hin und her zu bewegen. Dies ist besonders vorteilhaft für Stationen mit fest installierten Geräten. Die Hotplug-Fähigkeit erlaubt das einfache Umstecken der Module im laufenden Betrieb, was Zeit spart, und die Effizienz erhöht. Zudem wird der Verbrauch von Schlauchsystemen durch das Vermeiden von umständlichen Auf- und Abrüstprozessen reduziert, was zusätzlich Kosten spart und den Arbeitsaufwand minimiert.</t>
        </is>
      </c>
      <c r="J8" s="4"/>
      <c r="K8" t="inlineStr" s="2">
        <is>
          <t xml:space="preserve">protected-token-mismatch: missing in target: HFO</t>
        </is>
      </c>
      <c r="L8" t="str" s="3">
        <f>HYPERLINK("https://www.getinge.com/de/news-und-events/neuigkeiten/gesundheitswesen/technologische-innovation-modulare-beatmungsgerate-in-der-intensivbeatmung/","/news-und-events/neuigkeiten/gesundheitswesen/technologische-innovation-modulare-beatmungsgerate-in-der-intensivbeatmung/")</f>
        <v>/news-und-events/neuigkeiten/gesundheitswesen/technologische-innovation-modulare-beatmungsgerate-in-der-intensivbeatmung/</v>
      </c>
    </row>
    <row r="9">
      <c r="A9" s="0">
        <v>8</v>
      </c>
      <c r="B9" t="str" s="3">
        <f>HYPERLINK("https://www.getinge.com/int/insights/updates/healthcare/why-advanced-hemodynamic-monitoring/","/insights/updates/healthcare/why-advanced-hemodynamic-monitoring/")</f>
        <v>/insights/updates/healthcare/why-advanced-hemodynamic-monitoring/</v>
      </c>
      <c r="C9" t="inlineStr" s="2">
        <is>
          <t xml:space="preserve">By using advanced hemodynamic monitoring, clinicians are continuously informed about changes in the patient’s condition. As a result, treatment can be adjusted immediately and in a targeted manner, and patient-specific therapy can be carried out with optimal use of fluids, inotropes, and vasoactive substances. Clinical evidence has long shown that hemodynamic optimization as part of a goal-directed therapy approach (“Early Goal-Directed Therapy,” EGDT) reduces complications and morbidity, shortens length of stay, and saves costs. [4] [5] [6].</t>
        </is>
      </c>
      <c r="D9" t="inlineStr" s="2">
        <is>
          <t xml:space="preserve">Durch den Einsatz von erweitertem hämodynamischem Monitoring sind Ärzt*innen jederzeit über Veränderungen im Zustand des Patienten informiert. Dadurch kann die Behandlung sofort und zielgerichtet angepasst und eine patientenindividuelle Therapie unter optimaler Nutzung von Volumen, Inotropika und vasoaktiven Substanzen durchgeführt werden. Seit langem zeigen klinische Evidenzen, dass eine hämodynamische Optimierung im Rahmen einer zielgerichteten Therapie („Early Goal-Directed Therapy“, EGDT) Komplikationen und Morbidität reduziert, die Aufenthaltsdauer reduziert und Kosten einspart[5][6][7].</t>
        </is>
      </c>
      <c r="E9" t="inlineStr" s="0">
        <is>
          <t xml:space="preserve">Medium</t>
        </is>
      </c>
      <c r="F9" s="4"/>
      <c r="G9" t="inlineStr" s="2">
        <is>
          <t xml:space="preserve">Das erweiterte hämodynamische Monitoring liefert zusätzliche und wesentlich präzisere Informationen über das Herz-Kreislauf-System wie Blutfluss, Volumenstatus, Gefäßtonus und kardiale Funktionen. Durch die kontinuierliche Überwachung und Analyse der Form und der Fläche unter der arteriellen Druckkurve (Pulskonturanalyse), der strukturellen und mechanischen Eigenschaften des Gefäßsystems und der physikalischen Eigenschaften des Blutes kann zu jeder Zeit eine differenzierte Beurteilung der Kreislaufsituation erfolgen und eine zielgerichtete Therapie eingeleitet werden.</t>
        </is>
      </c>
      <c r="H9" t="inlineStr" s="2">
        <is>
          <t xml:space="preserve">Prof. Dr. Bernd Christopher Saugel vom UKE Hamburg erklärt: „Während das hämodynamische Basismonitoring mit der Erfassung von Herzfrequenz, Blutdruck und weiteren Druckparametern im Wesentlichen die Funktion eines Sicherheitsmonitorings erfüllt, dient das erweiterte hämodynamische Monitoring dazu, Störungen der Homöostase aufzudecken, noch bevor die Vitalfunktionen beeinträchtigt werden." Nur auf Basis dieser erweiterten Parameter und spezieller Monitoring-Technologien ist eine gezielte Therapiesteuerung und somit ein hämodynamisches Management, möglich[4].</t>
        </is>
      </c>
      <c r="I9" t="inlineStr" s="2">
        <is>
          <t xml:space="preserve">Das Basismonitoring stößt bei hämodynamischer Instabilität aufgrund von Organversagen oder größeren Operationen an seine Grenzen. In solchen Fällen kann sich der Patientenstatus innerhalb kürzester Zeit rapide verändern. Für eine differenzierte Beurteilung der Kreislaufsituation, reichen die Standardparameter EKG, Blutdruckmessung und Pulsoxymetrie nicht mehr aus, um Herzzeitvolumen (HZV) und Sauerstofftransport für eine zielgerichtete, patienten-individuelle Therapie sicher einzuschätzen.</t>
        </is>
      </c>
      <c r="J9" s="4"/>
      <c r="K9" t="inlineStr" s="2">
        <is>
          <t xml:space="preserve">number-mismatch: numbers [4, 5, 6] vs [5, 6, 7]</t>
        </is>
      </c>
      <c r="L9"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10">
      <c r="A10" s="0">
        <v>9</v>
      </c>
      <c r="B10" t="str" s="3">
        <f>HYPERLINK("https://www.getinge.com/int/insights/updates/healthcare/why-advanced-hemodynamic-monitoring/","/insights/updates/healthcare/why-advanced-hemodynamic-monitoring/")</f>
        <v>/insights/updates/healthcare/why-advanced-hemodynamic-monitoring/</v>
      </c>
      <c r="C10" t="inlineStr" s="2">
        <is>
          <t xml:space="preserve">The principles of transpulmonary thermodilution and arterial pulse contour analysis enable the calculation of these advanced hemodynamic parameters and have been clinically tested and established for more than 20 years [7] [8].</t>
        </is>
      </c>
      <c r="D10" t="inlineStr" s="2">
        <is>
          <t xml:space="preserve">Die Prinzipien der transpulmonalen Thermodilution und die arteriellen Pulskonturanalyse ermöglichen die Berechnung dieser erweiterten hämodynamischen Parameter und sind bereits seit mehr als 20 Jahren klinisch erprobt und etabliert[8],[9].</t>
        </is>
      </c>
      <c r="E10" t="inlineStr" s="0">
        <is>
          <t xml:space="preserve">Medium</t>
        </is>
      </c>
      <c r="F10" s="4"/>
      <c r="G10" t="inlineStr" s="2">
        <is>
          <t xml:space="preserve">Mark van Iperen vom Gelderland Valley Hospital in Ede, Niederlande: „Wir nutzen erweitertes hämodynamisches Monitoring bei fast allen Patienten, vor allem bei schwer kranken oder herzkranken Patienten. Die Überwachung physiologischer Parameter ist für das zielgerichtete Management von Intensivpatienten unerlässlich.“</t>
        </is>
      </c>
      <c r="H10" s="2"/>
      <c r="I10" s="2"/>
      <c r="J10" s="4"/>
      <c r="K10" t="inlineStr" s="2">
        <is>
          <t xml:space="preserve">number-mismatch: numbers [20, 7, 8] vs [20, 8, 9]</t>
        </is>
      </c>
      <c r="L10" t="str" s="3">
        <f>HYPERLINK("https://www.getinge.com/de/news-und-events/neuigkeiten/gesundheitswesen/warum-erweitertes-hamodynamisches-monitoring/","/news-und-events/neuigkeiten/gesundheitswesen/warum-erweitertes-hamodynamisches-monitoring/")</f>
        <v>/news-und-events/neuigkeiten/gesundheitswesen/warum-erweitertes-hamodynamisches-monitoring/</v>
      </c>
    </row>
    <row r="11">
      <c r="A11" s="0">
        <v>10</v>
      </c>
      <c r="B11" t="str" s="3">
        <f>HYPERLINK("https://www.getinge.com/int/products-and-solutions/cardiovascular-procedures/","/products-and-solutions/cardiovascular-procedures/")</f>
        <v>/products-and-solutions/cardiovascular-procedures/</v>
      </c>
      <c r="C11" t="inlineStr" s="2">
        <is>
          <t xml:space="preserve">Getinge supports cardiovascular and cardiothoracic procedures with tools and solutions that enhance the surgical experience and patient outcomes. But in the end, the most important tool is the surgeon’s hands. This cookbook is a lighthearted tribute to their skill - and a fun way to keep those hands sharp. Here are nine recipes that will improve dexterity in the operating room.</t>
        </is>
      </c>
      <c r="D11" s="2"/>
      <c r="F11" s="4"/>
      <c r="G11" t="inlineStr" s="2">
        <is>
          <t xml:space="preserve">Dennoch ist das wichtigste Werkzeug in einem Operationssaal der Chirurg und die Chirurgin, deren erfahrene Hände die Produkte anwenden. Dieses Kochbuch ist eine Hommage an alle Chirurg*innen und bietet eine unterhaltsame und einzigartige Möglichkeit, ihre Fingerfertigkeit zu trainieren.</t>
        </is>
      </c>
      <c r="H11" t="inlineStr" s="2">
        <is>
          <t xml:space="preserve">Als langjähriger Partner für kardiovaskuläre und kardiothorakale Eingriffe bietet Getinge Produkte, Technologien und Kompetenzen zur Verbesserung der klinischen Möglichkeiten vor, während und nach der Operation.</t>
        </is>
      </c>
      <c r="I11" s="2"/>
      <c r="J11" s="4"/>
      <c r="K11" s="2"/>
      <c r="L11" t="str" s="3">
        <f>HYPERLINK("https://www.getinge.com/de/produkte-und-loesungen/kardiovaskulare-eingriffe/","/produkte-und-loesungen/kardiovaskulare-eingriffe/")</f>
        <v>/produkte-und-loesungen/kardiovaskulare-eingriffe/</v>
      </c>
    </row>
    <row r="12">
      <c r="A12" s="0">
        <v>11</v>
      </c>
      <c r="B12" t="str" s="3">
        <f>HYPERLINK("https://www.getinge.com/int/products-and-solutions/digital-health/","/products-and-solutions/digital-health/")</f>
        <v>/products-and-solutions/digital-health/</v>
      </c>
      <c r="C12" t="inlineStr" s="2">
        <is>
          <t xml:space="preserve">We provide digital solutions that have been developed and optimized for ease of use over many years. Our solutions can be configured to fit every health care provider’s specific demands, ensuring easy adoption and providing real and immediate benefits, ultimately improving the experience for patients and staff.</t>
        </is>
      </c>
      <c r="D12" s="2"/>
      <c r="F12" s="4"/>
      <c r="G12" t="inlineStr" s="2">
        <is>
          <t xml:space="preserve">Mit unseren bewährten digitalen Lösungen kann im Gesundheitswesen mehr Zeit für die Versorgung von Patienten geschaffen werden. Durch digitale Abläufe und Verfahren kann der Verwaltungsaufwand reduziert und Informationen in Echtzeit zur Verfügung gestellt werden. Unsere Lösungen lassen auf die individuellen Anforderungen der verschiedensten Einrichtungen im Gesundheitswesen anpassen und gewährleisten eine flache Lernkurve. Zusätzlich bieten sie unmittelbare und sofort spürbare Vorteile, die das Erlebnis und die Sicherheit von Patientinnen und Patienten sowie Mitarbeiterinnen und Mitarbeitern verbessern.</t>
        </is>
      </c>
      <c r="H12" s="2"/>
      <c r="I12" s="2"/>
      <c r="J12" s="4"/>
      <c r="K12" s="2"/>
      <c r="L12" t="str" s="3">
        <f>HYPERLINK("https://www.getinge.com/de/produkte-und-loesungen/digitalisierung-im-gesundheitswesen/","/produkte-und-loesungen/digitalisierung-im-gesundheitswesen/")</f>
        <v>/produkte-und-loesungen/digitalisierung-im-gesundheitswesen/</v>
      </c>
    </row>
    <row r="13">
      <c r="A13" s="0">
        <v>12</v>
      </c>
      <c r="B13" t="str" s="3">
        <f>HYPERLINK("https://www.getinge.com/int/products-and-solutions/operating-room/","/products-and-solutions/operating-room/")</f>
        <v>/products-and-solutions/operating-room/</v>
      </c>
      <c r="C13" t="inlineStr" s="2">
        <is>
          <t xml:space="preserve">Clinics and ambulatory surgery centers have unique needs. That’s why Getinge has built a team of experienced project specialists who can help you design an efficient facility using high-quality medical products. We use our expertise to build new or re-equipped facilities to meet your unique requirements. From project planning and process optimization through commissioning and maintenance, Getinge delivers exactly what you need: perfectly coordinated equipment and reliable service from a single source. Let us help you provide excellent medical care.</t>
        </is>
      </c>
      <c r="D13" s="2"/>
      <c r="F13" s="4"/>
      <c r="G13" t="inlineStr" s="2">
        <is>
          <t xml:space="preserve">FLUOPTICS® eröffnet neue Anwendungen für die Fluoreszenzbildgebung. Unsere Lösungen kombinieren Autofluoreszenz- und Fluoreszenzbildgebung, um Chirurgen eine noch nie dagewesene Information über die Lage von autofluoreszierendem Gewebe und die Beurteilung der Perfusion zu liefern. Chirurgen werden mit größerer Präzision, Effizienz und Sicherheit geführt. FLUOPTICS® Produkte werden von internationalen klinischen Teams entwickelt und validiert, um den Bedürfnissen und gesundheitlichen Herausforderungen ihrer Patienten gerecht zu werden.</t>
        </is>
      </c>
      <c r="H13" t="inlineStr" s="2">
        <is>
          <t xml:space="preserve">Ein operativer Arbeitsbereich, der bildgebende Ausstattung mit einem multifunktionalen Operationstisch kombiniert. Damit können Diagnose und Behandlung am gleichen Ort erfolgen, wodurch Risiken und Verzögerungen verringert, die Patientensicherheit verbessert und letztendlich die Kosten reduziert werden. Die OP-Lagerfläche erfüllt nicht nur die Anforderungen zahlreicher Bereiche der Chirurgie, sondern kann auch bei Verwendung für moderne Bildgebung den Anforderungen entsprechend verschoben werden.</t>
        </is>
      </c>
      <c r="I13" t="inlineStr" s="2">
        <is>
          <t xml:space="preserve">Egal ob Neubau, Umbau oder Anbau – ein ambulantes OP-Zentrum ist ein komplexes Projekt. Als Ihr strategischer Partner für Praxiskliniken und ambulante OP-Zentren bieten wir ein breites Angebot von der Planung, Prozessoptimierung, Ausstattung, Finanzierung bis hin zur Inbetriebnahme und Wartung, alles aus einer Hand.</t>
        </is>
      </c>
      <c r="J13" s="4"/>
      <c r="K13" s="2"/>
      <c r="L13" t="str" s="3">
        <f>HYPERLINK("https://www.getinge.com/de/produkte-und-loesungen/operationssaal/","/produkte-und-loesungen/operationssaal/")</f>
        <v>/produkte-und-loesungen/operationssaal/</v>
      </c>
    </row>
    <row r="14">
      <c r="A14" s="0">
        <v>13</v>
      </c>
      <c r="B14" t="str" s="3">
        <f>HYPERLINK("https://www.getinge.com/int/products/cardiohelp-2/","/products/cardiohelp-2/")</f>
        <v>/products/cardiohelp-2/</v>
      </c>
      <c r="C14" t="inlineStr" s="2">
        <is>
          <t xml:space="preserve">Attachable electronic gas blender</t>
        </is>
      </c>
      <c r="D14" t="inlineStr" s="2">
        <is>
          <t xml:space="preserve">Integrierter elektronischer Gasmischer</t>
        </is>
      </c>
      <c r="E14" t="inlineStr" s="0">
        <is>
          <t xml:space="preserve">Medium</t>
        </is>
      </c>
      <c r="F14" s="4"/>
      <c r="G14" t="inlineStr" s="2">
        <is>
          <t xml:space="preserve">Betrieb mit dem Einweg-HLS-Set Advanced</t>
        </is>
      </c>
      <c r="H14" s="2"/>
      <c r="I14" s="2"/>
      <c r="J14" s="4"/>
      <c r="K14" s="2"/>
      <c r="L14" t="str" s="3">
        <f>HYPERLINK("https://www.getinge.com/de/produkte/cardiohelp-2/","/produkte/cardiohelp-2/")</f>
        <v>/produkte/cardiohelp-2/</v>
      </c>
    </row>
    <row r="15">
      <c r="A15" s="0">
        <v>14</v>
      </c>
      <c r="B15" t="str" s="3">
        <f>HYPERLINK("https://www.getinge.com/int/products/dpte-glove/","/products/dpte-glove/")</f>
        <v>/products/dpte-glove/</v>
      </c>
      <c r="C15" t="inlineStr" s="2">
        <is>
          <t xml:space="preserve">Safe and secure</t>
        </is>
      </c>
      <c r="D15" s="2"/>
      <c r="F15" s="4"/>
      <c r="G15" t="inlineStr" s="2">
        <is>
          <t xml:space="preserve">Anwenderfreundlichkeit</t>
        </is>
      </c>
      <c r="H15" t="inlineStr" s="2">
        <is>
          <t xml:space="preserve">Aseptischer Transfer auf Abruf</t>
        </is>
      </c>
      <c r="I15" t="inlineStr" s="2">
        <is>
          <t xml:space="preserve">Sicheres Anschließen und Trennen</t>
        </is>
      </c>
      <c r="J15" s="4"/>
      <c r="K15" s="2"/>
      <c r="L15" t="str" s="3">
        <f>HYPERLINK("https://www.getinge.com/de/produkte/dpte-handschuh/","/produkte/dpte-handschuh/")</f>
        <v>/produkte/dpte-handschuh/</v>
      </c>
    </row>
    <row r="16">
      <c r="A16" s="0">
        <v>15</v>
      </c>
      <c r="B16" t="str" s="3">
        <f>HYPERLINK("https://www.getinge.com/int/products/gew-cgmp-washer-dryer/","/products/gew-cgmp-washer-dryer/")</f>
        <v>/products/gew-cgmp-washer-dryer/</v>
      </c>
      <c r="C16" t="inlineStr" s="2">
        <is>
          <t xml:space="preserve">The medium sized GEW 101210 are designed primarily for the manufacturing area. The base model of each includes many standard features necessary for GMP compliance. The chambers are equipped with one or two vertical hinged glass doors for single ended use or pass-through operation. The hinged door optimizes space and minimizes footprint.</t>
        </is>
      </c>
      <c r="D16" t="inlineStr" s="2">
        <is>
          <t xml:space="preserve">Das mittelgroße Reinigungsgerät GEW 101210 ist vorrangig für den Produktionsbereich konzipiert. Das Basismodell bietet viele Standardfunktionen, die für die GMP-Konformität erforderlich sind. Die Kammern sind als Einzeltür- oder Durchreichemodell mit einer oder zwei waagerechten Schwenktüren aus Glas ausgestattet. Die Schwenktür optimiert den Platzbedarf und minimiert die Stellfläche dieses Modells.</t>
        </is>
      </c>
      <c r="E16" t="inlineStr" s="0">
        <is>
          <t xml:space="preserve">Medium</t>
        </is>
      </c>
      <c r="F16" s="4"/>
      <c r="G16" t="inlineStr" s="2">
        <is>
          <t xml:space="preserve">Das GEW 9109 ist das ideale Reinigungsgerät für vielseitige Anwendungen. Seine 810-Liter-Kammer ermöglicht die Reinigung auf zwei Ebenen bei einem äußerst geringen Wasserverbrauch. Neben den geringen Zykluskosten und der hohen Produktivität sorgen die automatischen Schiebetüren für eine hervorragende Ergonomie.</t>
        </is>
      </c>
      <c r="H16" s="2"/>
      <c r="I16" s="2"/>
      <c r="J16" s="4"/>
      <c r="K16" s="2"/>
      <c r="L16" t="str" s="3">
        <f>HYPERLINK("https://www.getinge.com/de/produkte/gew-cgmp-reinigungsanlagen/","/produkte/gew-cgmp-reinigungsanlagen/")</f>
        <v>/produkte/gew-cgmp-reinigungsanlagen/</v>
      </c>
    </row>
    <row r="17">
      <c r="A17" s="0">
        <v>16</v>
      </c>
      <c r="B17" t="str" s="3">
        <f>HYPERLINK("https://www.getinge.com/int/products/loading-equipment-for-getinge-lancer-ultima-laboratory-washers/","/products/loading-equipment-for-getinge-lancer-ultima-laboratory-washers/")</f>
        <v>/products/loading-equipment-for-getinge-lancer-ultima-laboratory-washers/</v>
      </c>
      <c r="C17" t="inlineStr" s="2">
        <is>
          <t xml:space="preserve">Wash racks for bioreactors</t>
        </is>
      </c>
      <c r="D17" s="2"/>
      <c r="F17" s="4"/>
      <c r="G17" t="inlineStr" s="2">
        <is>
          <t xml:space="preserve">Spezieller Einsatz für Reinigungswagen</t>
        </is>
      </c>
      <c r="H17" t="inlineStr" s="2">
        <is>
          <t xml:space="preserve">Körbe und Abdeckungen für kleine Gegenstände</t>
        </is>
      </c>
      <c r="I17" t="inlineStr" s="2">
        <is>
          <t xml:space="preserve">Sicherer, ergonomischer Transport und Lagerung</t>
        </is>
      </c>
      <c r="J17" s="4"/>
      <c r="K17" s="2"/>
      <c r="L17" t="str" s="3">
        <f>HYPERLINK("https://www.getinge.com/de/produkte/beladeausruestung-fuer-getinge-lancer-ultima-labor-reinigungsgeraete/","/produkte/beladeausruestung-fuer-getinge-lancer-ultima-labor-reinigungsgeraete/")</f>
        <v>/produkte/beladeausruestung-fuer-getinge-lancer-ultima-labor-reinigungsgeraete/</v>
      </c>
    </row>
    <row r="18">
      <c r="A18" s="0">
        <v>17</v>
      </c>
      <c r="B18" t="str" s="3">
        <f>HYPERLINK("https://www.getinge.com/int/products/maquet-meera/","/products/maquet-meera/")</f>
        <v>/products/maquet-meera/</v>
      </c>
      <c r="C18" t="inlineStr" s="2">
        <is>
          <t xml:space="preserve">The Maquet Meera operating table offers a motorized longitudinal shift that delivers a large radiolucent area for gynecological or urological surgery, without an added seat plate extension.</t>
        </is>
      </c>
      <c r="D18" t="inlineStr" s="2">
        <is>
          <t xml:space="preserve">Der Maquet Meera OP-Tisch ist mit einer motorbetriebenen Längsverschiebung ausgestattet, mit deren Hilfe ein großer durchleuchtbarer Bereich für gynäkologische und urologische Eingriffe ohne zusätzliche Sitzplattenverlängerung zur Verfügung steh</t>
        </is>
      </c>
      <c r="E18" t="inlineStr" s="0">
        <is>
          <t xml:space="preserve">Medium</t>
        </is>
      </c>
      <c r="F18" s="4"/>
      <c r="G18" t="inlineStr" s="2">
        <is>
          <t xml:space="preserve">Der Maquet Meera CL OP-Tisch besitzt ein flexibles und mobiles Design, das perfekt auf ambulante OP-Zentren abgestimmt ist.</t>
        </is>
      </c>
      <c r="H18" s="2"/>
      <c r="I18" s="2"/>
      <c r="J18" s="4"/>
      <c r="K18" s="2"/>
      <c r="L18" t="str" s="3">
        <f>HYPERLINK("https://www.getinge.com/de/produkte/maquet-meera/","/produkte/maquet-meera/")</f>
        <v>/produkte/maquet-meera/</v>
      </c>
    </row>
    <row r="19">
      <c r="A19" s="0">
        <v>18</v>
      </c>
      <c r="B19" t="str" s="3">
        <f>HYPERLINK("https://www.getinge.com/int/products/maquet-meera/","/products/maquet-meera/")</f>
        <v>/products/maquet-meera/</v>
      </c>
      <c r="C19" t="inlineStr" s="2">
        <is>
          <t xml:space="preserve">The newest member of the Maquet Meera family is the Maquet Meera CL surgical table, featuring a versatile and mobile design that is ideal for out-patient surgery centers.</t>
        </is>
      </c>
      <c r="D19" t="inlineStr" s="2">
        <is>
          <t xml:space="preserve">Der Maquet Meera CL OP-Tisch besitzt ein flexibles und mobiles Design, das perfekt auf ambulante OP-Zentren abgestimmt ist.</t>
        </is>
      </c>
      <c r="E19" t="inlineStr" s="0">
        <is>
          <t xml:space="preserve">Low</t>
        </is>
      </c>
      <c r="F19" s="4"/>
      <c r="G19" t="inlineStr" s="2">
        <is>
          <t xml:space="preserve">Der Maquet Meera OP-Tisch ist mit einer motorbetriebenen Längsverschiebung ausgestattet, mit deren Hilfe ein großer durchleuchtbarer Bereich für gynäkologische und urologische Eingriffe ohne zusätzliche Sitzplattenverlängerung zur Verfügung steh</t>
        </is>
      </c>
      <c r="H19" s="2"/>
      <c r="I19" s="2"/>
      <c r="J19" s="4"/>
      <c r="K19" s="2"/>
      <c r="L19" t="str" s="3">
        <f>HYPERLINK("https://www.getinge.com/de/produkte/maquet-meera/","/produkte/maquet-meera/")</f>
        <v>/produkte/maquet-meera/</v>
      </c>
    </row>
    <row r="20">
      <c r="A20" s="0">
        <v>19</v>
      </c>
      <c r="B20" t="str" s="3">
        <f>HYPERLINK("https://www.getinge.com/int/products/nava/","/products/nava/")</f>
        <v>/products/nava/</v>
      </c>
      <c r="C20" t="inlineStr" s="2">
        <is>
          <t xml:space="preserve">The electrical discharge of the diaphragm is captured by a special nasogastric feeding tube fitted with an array of electrodes (the Edi catheter). Like an ordinary enteral feeding tube, the Edi catheter passes through the esophagus, where it measures the electrical activity of the diaphragm. The electrodes also monitor ECG signals, which are used to verify the position of the Edi catheter.</t>
        </is>
      </c>
      <c r="D20" t="inlineStr" s="2">
        <is>
          <t xml:space="preserve">Die elektrische Entladung des Zwerchfells wird von einer speziellen nasogastralen Ernährungssonde erfasst, die mit einer Reihe von Mikroelektroden (dem Edi-Katheter) ausgestattet ist. Wie eine normale enterale Ernährungssonde passiert der Edi-Katheter den Ösophagus, von wo aus er die elektrische Aktivität des Zwerchfells misst.</t>
        </is>
      </c>
      <c r="E20" t="inlineStr" s="0">
        <is>
          <t xml:space="preserve">Medium</t>
        </is>
      </c>
      <c r="F20" s="4"/>
      <c r="G20" t="inlineStr" s="2">
        <is>
          <t xml:space="preserve">Stärke und Zeitpunkt jedes einzelnen unserer Atemzüge werden vom Atemzentrum des Gehirns gesteuert. Nachdem das Gehirn verschiedene sensorische Signale verarbeitet hat, sendet es ein Signal über den Phrenikusnerv, um das Zwerchfell elektrisch zu aktivieren, was zu einer Muskelkontraktion führt. Das Zwerchfell kontrahiert in die Bauchhöhle, was zu einer Abwärtsbewegung führt, die eine Expansion der Thoraxwand und der Lunge zur Folge hat.</t>
        </is>
      </c>
      <c r="H20" t="inlineStr" s="2">
        <is>
          <t xml:space="preserve">Im unteren Teil des Bildschirms ist stets das Edi-Signal zu sehen, auch wenn der Beatmungsmodus der Patientin/des Patienten nicht auf NAVA gestellt ist. Wenn Sie den NAVA-Modus aktivieren, steuert das Edi-Signal automatisch das Beatmungsgerät, um synchrone und proportionale Unterstützung zum Zwerchfell zu liefern. Das Beatmungsgerät fungiert als zweiter Inspirationsmuskel – perfekt mit der Patientin/dem Patienten synchronisiert.</t>
        </is>
      </c>
      <c r="I20" s="2"/>
      <c r="J20" s="4"/>
      <c r="K20" s="2"/>
      <c r="L20" t="str" s="3">
        <f>HYPERLINK("https://www.getinge.com/de/produkte/nava/","/produkte/nava/")</f>
        <v>/produkte/nava/</v>
      </c>
    </row>
    <row r="21">
      <c r="A21" s="0">
        <v>20</v>
      </c>
      <c r="B21" t="str" s="3">
        <f>HYPERLINK("https://www.getinge.com/int/products/picco/","/products/picco/")</f>
        <v>/products/picco/</v>
      </c>
      <c r="C21" t="inlineStr" s="2">
        <is>
          <t xml:space="preserve">Monitoring physiological parameters is essential for the goal directed management of critical care patients. Highly invasive monitoring methods have been established in clinical practice for many years, but are increasingly the centre of critical discussion. The PiCCO Technology is the solution.</t>
        </is>
      </c>
      <c r="D21" t="inlineStr" s="2">
        <is>
          <t xml:space="preserve">Das Monitoring physiologischer Parameter ist ein entscheidender Faktor für das zielgerichtete Management kritisch kranker Patientinnen und Patienten. Lange Zeit beherrschten stark invasive Monitoring-Methoden die klinische Praxis, werden aber immer häufiger kritisch diskutiert.</t>
        </is>
      </c>
      <c r="E21" t="inlineStr" s="0">
        <is>
          <t xml:space="preserve">Medium</t>
        </is>
      </c>
      <c r="F21" s="4"/>
      <c r="G21" s="2"/>
      <c r="H21" s="2"/>
      <c r="I21" s="2"/>
      <c r="J21" s="4"/>
      <c r="K21" t="inlineStr" s="2">
        <is>
          <t xml:space="preserve">protected-token-mismatch: missing in target: PiCCO</t>
        </is>
      </c>
      <c r="L21" t="str" s="3">
        <f>HYPERLINK("https://www.getinge.com/de/produkte/picco/","/produkte/picco/")</f>
        <v>/produkte/picco/</v>
      </c>
    </row>
    <row r="22">
      <c r="A22" s="0">
        <v>21</v>
      </c>
      <c r="B22" t="str" s="3">
        <f>HYPERLINK("https://www.getinge.com/int/services/mygetinge-customer-portal/","/services/mygetinge-customer-portal/")</f>
        <v>/services/mygetinge-customer-portal/</v>
      </c>
      <c r="C22" t="inlineStr" s="2">
        <is>
          <t xml:space="preserve">Unlock all features, tools, and resources in myGetinge. The Customer Portal is currently available in selected markets. Register your interest and we’ll keep you informed about availability in your region.</t>
        </is>
      </c>
      <c r="D22" t="inlineStr" s="2">
        <is>
          <t xml:space="preserve">myGetinge bietet Ihnen einen zentralen Zugang zu digitalen Services, hilfreichen Tools und wichtigen Informationen. Das Kundenportal wird schrittweise in weiteren Märkten eingeführt.</t>
        </is>
      </c>
      <c r="E22" t="inlineStr" s="0">
        <is>
          <t xml:space="preserve">Medium</t>
        </is>
      </c>
      <c r="F22" s="4"/>
      <c r="G22" t="inlineStr" s="2">
        <is>
          <t xml:space="preserve">Hinterlassen Sie Ihre Kontaktdaten, und wir benachrichtigen Sie, sobald myGetinge in Ihrer Region verfügbar ist.</t>
        </is>
      </c>
      <c r="H22" s="2"/>
      <c r="I22" s="2"/>
      <c r="J22" s="4"/>
      <c r="K22" s="2"/>
      <c r="L22" t="str" s="3">
        <f>HYPERLINK("https://www.getinge.com/de/services/mygetinge-customer-portal/","/services/mygetinge-customer-portal/")</f>
        <v>/services/mygetinge-customer-portal/</v>
      </c>
    </row>
    <row r="23">
      <c r="A23" s="0">
        <v>22</v>
      </c>
      <c r="B23" t="str" s="3">
        <f>HYPERLINK("https://www.getinge.com/int/services/technical-services/","/services/technical-services/")</f>
        <v>/services/technical-services/</v>
      </c>
      <c r="C23" t="inlineStr" s="2">
        <is>
          <t xml:space="preserve">Getinge Service agreements are offered as an additional option for you to ensure our equipment performs according to your specifications beyond its warranty expiration date. A variety of options are available for you according to your needs and requirements.</t>
        </is>
      </c>
      <c r="D23" s="2"/>
      <c r="F23" s="4"/>
      <c r="G23" t="inlineStr" s="2">
        <is>
          <t xml:space="preserve">Getinge Serviceverträge sind eine zusätzliche Option, um sicherzustellen, dass Ihre Geräte auch über die Gewährleistungszeit hinaus zuverlässig funktionieren – genau nach Ihren Anforderungen.</t>
        </is>
      </c>
      <c r="H23" s="2"/>
      <c r="I23" s="2"/>
      <c r="J23" s="4"/>
      <c r="K23" s="2"/>
      <c r="L23" t="str" s="3">
        <f>HYPERLINK("https://www.getinge.com/de/services/technischer-service/","/services/technischer-service/")</f>
        <v>/services/technischer-service/</v>
      </c>
    </row>
  </sheetData>
  <autoFilter ref="A1:L23"/>
  <dataValidations count="1">
    <dataValidation type="list" allowBlank="1" showErrorMessage="1" errorTitle="Decision" error="Choose a value from the list." sqref="F2:F23">
      <formula1>"Accept suggestion,Alternative 1,Alternative 2,Alternative 3,Use my German,No match"</formula1>
    </dataValidation>
  </dataValidations>
</worksheet>
</file>

<file path=xl/worksheets/sheet2.xml><?xml version="1.0" encoding="utf-8"?>
<worksheet xmlns="http://schemas.openxmlformats.org/spreadsheetml/2006/main">
  <cols>
    <col min="1" max="1" width="140" customWidth="1"/>
  </cols>
  <sheetData>
    <row r="1">
      <c r="A1" t="inlineStr" s="1">
        <is>
          <t xml:space="preserve">How to review</t>
        </is>
      </c>
    </row>
    <row r="2"/>
    <row r="3">
      <c r="A3" t="inlineStr" s="0">
        <is>
          <t xml:space="preserve">Each row is an English text from a page where the German version has a different layout, so it could not be paired automatically.</t>
        </is>
      </c>
    </row>
    <row r="4">
      <c r="A4" t="inlineStr" s="0">
        <is>
          <t xml:space="preserve">"Suggested German" is the best match found in the same part of the German page; "Match" says how sure the tool is.</t>
        </is>
      </c>
    </row>
    <row r="5">
      <c r="A5" t="inlineStr" s="0">
        <is>
          <t xml:space="preserve">Open the page links to compare with the live pages when in doubt.</t>
        </is>
      </c>
    </row>
    <row r="6"/>
    <row r="7">
      <c r="A7" t="inlineStr" s="0">
        <is>
          <t xml:space="preserve">In the Decision column choose:</t>
        </is>
      </c>
    </row>
    <row r="8">
      <c r="A8" t="inlineStr" s="0">
        <is>
          <t xml:space="preserve">  Accept suggestion – the suggested German is the translation of the English text</t>
        </is>
      </c>
    </row>
    <row r="9">
      <c r="A9" t="inlineStr" s="0">
        <is>
          <t xml:space="preserve">  Alternative 1 / 2 / 3 – one of the alternatives is the right German text</t>
        </is>
      </c>
    </row>
    <row r="10">
      <c r="A10" t="inlineStr" s="0">
        <is>
          <t xml:space="preserve">  Use my German – write or paste the correct German in "Your German"</t>
        </is>
      </c>
    </row>
    <row r="11">
      <c r="A11" t="inlineStr" s="0">
        <is>
          <t xml:space="preserve">  No match – there is no German translation of this text on the page</t>
        </is>
      </c>
    </row>
    <row r="12">
      <c r="A12" t="inlineStr" s="0">
        <is>
          <t xml:space="preserve">Leave Decision empty for rows you have not reviewed yet; they will be asked again next time.</t>
        </is>
      </c>
    </row>
    <row r="13"/>
    <row r="14">
      <c r="A14" t="inlineStr" s="0">
        <is>
          <t xml:space="preserve">Free adaptations are fine – the German pages are approved. Only check that the two texts say the same thing.</t>
        </is>
      </c>
    </row>
    <row r="15">
      <c r="A15" t="inlineStr" s="0">
        <is>
          <t xml:space="preserve">When done, save the file (keep the .xlsx format) and upload it to the "review" folder of the repository.</t>
        </is>
      </c>
    </row>
    <row r="16">
      <c r="A16" t="inlineStr" s="0">
        <is>
          <t xml:space="preserve">The next run adds every approved pair to the translation memory and does not ask about decided rows again.</t>
        </is>
      </c>
    </row>
    <row r="17">
      <c r="A17" t="inlineStr" s="0">
        <is>
          <t xml:space="preserve">"Check" shows why an automatic check would have rejected the suggestion (e.g. differing numbers) – it is a hint, not a verdict.</t>
        </is>
      </c>
    </row>
  </sheetData>
</worksheet>
</file>

<file path=docProps/app.xml><?xml version="1.0" encoding="utf-8"?>
<Properties xmlns="http://schemas.openxmlformats.org/officeDocument/2006/extended-properties">
  <Application>site-tmx-aligner</Application>
</Properties>
</file>

<file path=docProps/core.xml><?xml version="1.0" encoding="utf-8"?>
<cp:coreProperties xmlns:cp="http://schemas.openxmlformats.org/package/2006/metadata/core-properties" xmlns:dc="http://purl.org/dc/elements/1.1/" xmlns:dcterms="http://purl.org/dc/terms/" xmlns:xsi="http://www.w3.org/2001/XMLSchema-instance">
  <dc:title>TMX review en-de</dc:title>
  <dc:creator>site-tmx-aligner</dc:creator>
  <dcterms:created xsi:type="dcterms:W3CDTF">2026-10-24T07:02:03Z</dcterms:created>
</cp:coreProperties>
</file>